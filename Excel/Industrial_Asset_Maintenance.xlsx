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C:\Users\chand\Desktop\Data Analyst\Projects\"/>
    </mc:Choice>
  </mc:AlternateContent>
  <xr:revisionPtr revIDLastSave="0" documentId="13_ncr:1_{1AB7D122-A03A-43C9-A752-C52D48402D14}" xr6:coauthVersionLast="47" xr6:coauthVersionMax="47" xr10:uidLastSave="{00000000-0000-0000-0000-000000000000}"/>
  <bookViews>
    <workbookView xWindow="-108" yWindow="-108" windowWidth="23256" windowHeight="12456" activeTab="2" xr2:uid="{00000000-000D-0000-FFFF-FFFF00000000}"/>
  </bookViews>
  <sheets>
    <sheet name="Data &amp; KPI's" sheetId="1" r:id="rId1"/>
    <sheet name="Pivote" sheetId="5" r:id="rId2"/>
    <sheet name="Dashboard" sheetId="6" r:id="rId3"/>
  </sheets>
  <definedNames>
    <definedName name="Slicer_Department">#N/A</definedName>
    <definedName name="Slicer_Machine_Type">#N/A</definedName>
    <definedName name="Slicer_Maintenance_Type">#N/A</definedName>
    <definedName name="Slicer_Pla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X3" i="1" l="1"/>
  <c r="T3" i="1"/>
  <c r="Z3" i="1" s="1"/>
  <c r="AA3" i="1"/>
  <c r="Y3" i="1"/>
  <c r="U3" i="1"/>
  <c r="W3" i="1"/>
  <c r="V3" i="1"/>
</calcChain>
</file>

<file path=xl/sharedStrings.xml><?xml version="1.0" encoding="utf-8"?>
<sst xmlns="http://schemas.openxmlformats.org/spreadsheetml/2006/main" count="13076" uniqueCount="2293">
  <si>
    <t>Asset_ID</t>
  </si>
  <si>
    <t>Plant</t>
  </si>
  <si>
    <t>Department</t>
  </si>
  <si>
    <t>Machine_Type</t>
  </si>
  <si>
    <t>Asset_Name</t>
  </si>
  <si>
    <t>Installation_Year</t>
  </si>
  <si>
    <t>Maintenance_Date</t>
  </si>
  <si>
    <t>Maintenance_Type</t>
  </si>
  <si>
    <t>Failure_Type</t>
  </si>
  <si>
    <t>Downtime_Hours</t>
  </si>
  <si>
    <t>Repair_Cost_INR</t>
  </si>
  <si>
    <t>Technician</t>
  </si>
  <si>
    <t>Priority</t>
  </si>
  <si>
    <t>Work_Order_Status</t>
  </si>
  <si>
    <t>Asset_Status</t>
  </si>
  <si>
    <t>Spare_Part_Used</t>
  </si>
  <si>
    <t>Repair_Time_Hours</t>
  </si>
  <si>
    <t>Asset_Age_Years</t>
  </si>
  <si>
    <t>AST1001</t>
  </si>
  <si>
    <t>Hyderabad</t>
  </si>
  <si>
    <t>Packaging</t>
  </si>
  <si>
    <t>Compressor</t>
  </si>
  <si>
    <t>Machine-1</t>
  </si>
  <si>
    <t>2026-01-29</t>
  </si>
  <si>
    <t>Preventive</t>
  </si>
  <si>
    <t>No Failure</t>
  </si>
  <si>
    <t>Ravi</t>
  </si>
  <si>
    <t>Critical</t>
  </si>
  <si>
    <t>Completed</t>
  </si>
  <si>
    <t>Active</t>
  </si>
  <si>
    <t>Bearing</t>
  </si>
  <si>
    <t>AST1002</t>
  </si>
  <si>
    <t>Utilities</t>
  </si>
  <si>
    <t>Machine-2</t>
  </si>
  <si>
    <t>2026-06-04</t>
  </si>
  <si>
    <t>Corrective</t>
  </si>
  <si>
    <t>Priya</t>
  </si>
  <si>
    <t>High</t>
  </si>
  <si>
    <t>None</t>
  </si>
  <si>
    <t>AST1003</t>
  </si>
  <si>
    <t>Chennai</t>
  </si>
  <si>
    <t>Conveyor</t>
  </si>
  <si>
    <t>Machine-3</t>
  </si>
  <si>
    <t>2026-02-09</t>
  </si>
  <si>
    <t>Bearing Failure</t>
  </si>
  <si>
    <t>Meena</t>
  </si>
  <si>
    <t>Idle</t>
  </si>
  <si>
    <t>Valve</t>
  </si>
  <si>
    <t>AST1004</t>
  </si>
  <si>
    <t>Bengaluru</t>
  </si>
  <si>
    <t>Robot Arm</t>
  </si>
  <si>
    <t>Machine-4</t>
  </si>
  <si>
    <t>2026-01-21</t>
  </si>
  <si>
    <t>Sensor Fault</t>
  </si>
  <si>
    <t>Medium</t>
  </si>
  <si>
    <t>In Progress</t>
  </si>
  <si>
    <t>Motor</t>
  </si>
  <si>
    <t>AST1005</t>
  </si>
  <si>
    <t>Vizag</t>
  </si>
  <si>
    <t>Machine-5</t>
  </si>
  <si>
    <t>2026-03-13</t>
  </si>
  <si>
    <t>Motor Failure</t>
  </si>
  <si>
    <t>Pending</t>
  </si>
  <si>
    <t>AST1006</t>
  </si>
  <si>
    <t>Production</t>
  </si>
  <si>
    <t>Pump</t>
  </si>
  <si>
    <t>Machine-6</t>
  </si>
  <si>
    <t>2026-03-11</t>
  </si>
  <si>
    <t>Anil</t>
  </si>
  <si>
    <t>AST1007</t>
  </si>
  <si>
    <t>Pune</t>
  </si>
  <si>
    <t>Machine-7</t>
  </si>
  <si>
    <t>2026-07-03</t>
  </si>
  <si>
    <t>Kumar</t>
  </si>
  <si>
    <t>Belt</t>
  </si>
  <si>
    <t>AST1008</t>
  </si>
  <si>
    <t>Quality</t>
  </si>
  <si>
    <t>CNC Machine</t>
  </si>
  <si>
    <t>Machine-8</t>
  </si>
  <si>
    <t>2026-04-20</t>
  </si>
  <si>
    <t>Low</t>
  </si>
  <si>
    <t>AST1009</t>
  </si>
  <si>
    <t>Boiler</t>
  </si>
  <si>
    <t>Machine-9</t>
  </si>
  <si>
    <t>2026-06-02</t>
  </si>
  <si>
    <t>Overheating</t>
  </si>
  <si>
    <t>Sensor</t>
  </si>
  <si>
    <t>AST1010</t>
  </si>
  <si>
    <t>Machine-10</t>
  </si>
  <si>
    <t>AST1011</t>
  </si>
  <si>
    <t>Machine-11</t>
  </si>
  <si>
    <t>2026-05-10</t>
  </si>
  <si>
    <t>AST1012</t>
  </si>
  <si>
    <t>Generator</t>
  </si>
  <si>
    <t>Machine-12</t>
  </si>
  <si>
    <t>2026-03-03</t>
  </si>
  <si>
    <t>Predictive</t>
  </si>
  <si>
    <t>AST1013</t>
  </si>
  <si>
    <t>Machine-13</t>
  </si>
  <si>
    <t>2026-03-09</t>
  </si>
  <si>
    <t>Electrical Fault</t>
  </si>
  <si>
    <t>Rahul</t>
  </si>
  <si>
    <t>AST1014</t>
  </si>
  <si>
    <t>Machine-14</t>
  </si>
  <si>
    <t>2026-04-26</t>
  </si>
  <si>
    <t>AST1015</t>
  </si>
  <si>
    <t>Machine-15</t>
  </si>
  <si>
    <t>2026-01-18</t>
  </si>
  <si>
    <t>AST1016</t>
  </si>
  <si>
    <t>Machine-16</t>
  </si>
  <si>
    <t>2026-07-26</t>
  </si>
  <si>
    <t>AST1017</t>
  </si>
  <si>
    <t>Assembly</t>
  </si>
  <si>
    <t>Machine-17</t>
  </si>
  <si>
    <t>2026-07-06</t>
  </si>
  <si>
    <t>AST1018</t>
  </si>
  <si>
    <t>Machine-18</t>
  </si>
  <si>
    <t>2026-01-26</t>
  </si>
  <si>
    <t>Under Maintenance</t>
  </si>
  <si>
    <t>AST1019</t>
  </si>
  <si>
    <t>Machine-19</t>
  </si>
  <si>
    <t>2026-02-12</t>
  </si>
  <si>
    <t>AST1020</t>
  </si>
  <si>
    <t>Machine-20</t>
  </si>
  <si>
    <t>2026-05-29</t>
  </si>
  <si>
    <t>AST1021</t>
  </si>
  <si>
    <t>Machine-21</t>
  </si>
  <si>
    <t>AST1022</t>
  </si>
  <si>
    <t>Machine-22</t>
  </si>
  <si>
    <t>2026-03-08</t>
  </si>
  <si>
    <t>AST1023</t>
  </si>
  <si>
    <t>Machine-23</t>
  </si>
  <si>
    <t>AST1024</t>
  </si>
  <si>
    <t>Machine-24</t>
  </si>
  <si>
    <t>2026-03-19</t>
  </si>
  <si>
    <t>AST1025</t>
  </si>
  <si>
    <t>Machine-25</t>
  </si>
  <si>
    <t>AST1026</t>
  </si>
  <si>
    <t>Machine-26</t>
  </si>
  <si>
    <t>2026-01-12</t>
  </si>
  <si>
    <t>AST1027</t>
  </si>
  <si>
    <t>Machine-27</t>
  </si>
  <si>
    <t>2026-02-08</t>
  </si>
  <si>
    <t>AST1028</t>
  </si>
  <si>
    <t>Machine-28</t>
  </si>
  <si>
    <t>2026-06-20</t>
  </si>
  <si>
    <t>AST1029</t>
  </si>
  <si>
    <t>Machine-29</t>
  </si>
  <si>
    <t>2026-07-20</t>
  </si>
  <si>
    <t>AST1030</t>
  </si>
  <si>
    <t>Machine-30</t>
  </si>
  <si>
    <t>2026-02-27</t>
  </si>
  <si>
    <t>AST1031</t>
  </si>
  <si>
    <t>Machine-31</t>
  </si>
  <si>
    <t>AST1032</t>
  </si>
  <si>
    <t>Machine-32</t>
  </si>
  <si>
    <t>2026-04-22</t>
  </si>
  <si>
    <t>AST1033</t>
  </si>
  <si>
    <t>Machine-33</t>
  </si>
  <si>
    <t>2026-02-01</t>
  </si>
  <si>
    <t>AST1034</t>
  </si>
  <si>
    <t>Machine-34</t>
  </si>
  <si>
    <t>2026-07-11</t>
  </si>
  <si>
    <t>AST1035</t>
  </si>
  <si>
    <t>Machine-35</t>
  </si>
  <si>
    <t>2026-04-24</t>
  </si>
  <si>
    <t>AST1036</t>
  </si>
  <si>
    <t>Machine-36</t>
  </si>
  <si>
    <t>2026-02-07</t>
  </si>
  <si>
    <t>AST1037</t>
  </si>
  <si>
    <t>Machine-37</t>
  </si>
  <si>
    <t>2026-05-07</t>
  </si>
  <si>
    <t>AST1038</t>
  </si>
  <si>
    <t>Machine-38</t>
  </si>
  <si>
    <t>2026-03-05</t>
  </si>
  <si>
    <t>AST1039</t>
  </si>
  <si>
    <t>Machine-39</t>
  </si>
  <si>
    <t>2026-05-21</t>
  </si>
  <si>
    <t>AST1040</t>
  </si>
  <si>
    <t>Machine-40</t>
  </si>
  <si>
    <t>2026-01-20</t>
  </si>
  <si>
    <t>AST1041</t>
  </si>
  <si>
    <t>Machine-41</t>
  </si>
  <si>
    <t>2026-04-15</t>
  </si>
  <si>
    <t>AST1042</t>
  </si>
  <si>
    <t>Machine-42</t>
  </si>
  <si>
    <t>2026-03-18</t>
  </si>
  <si>
    <t>AST1043</t>
  </si>
  <si>
    <t>Machine-43</t>
  </si>
  <si>
    <t>2026-06-21</t>
  </si>
  <si>
    <t>AST1044</t>
  </si>
  <si>
    <t>Machine-44</t>
  </si>
  <si>
    <t>AST1045</t>
  </si>
  <si>
    <t>Machine-45</t>
  </si>
  <si>
    <t>2026-05-01</t>
  </si>
  <si>
    <t>AST1046</t>
  </si>
  <si>
    <t>Machine-46</t>
  </si>
  <si>
    <t>AST1047</t>
  </si>
  <si>
    <t>Machine-47</t>
  </si>
  <si>
    <t>AST1048</t>
  </si>
  <si>
    <t>Machine-48</t>
  </si>
  <si>
    <t>2026-06-10</t>
  </si>
  <si>
    <t>AST1049</t>
  </si>
  <si>
    <t>Machine-49</t>
  </si>
  <si>
    <t>AST1050</t>
  </si>
  <si>
    <t>Machine-50</t>
  </si>
  <si>
    <t>2026-06-16</t>
  </si>
  <si>
    <t>AST1051</t>
  </si>
  <si>
    <t>Machine-51</t>
  </si>
  <si>
    <t>2026-07-12</t>
  </si>
  <si>
    <t>AST1052</t>
  </si>
  <si>
    <t>Machine-52</t>
  </si>
  <si>
    <t>2026-06-29</t>
  </si>
  <si>
    <t>AST1053</t>
  </si>
  <si>
    <t>Machine-53</t>
  </si>
  <si>
    <t>2026-07-22</t>
  </si>
  <si>
    <t>AST1054</t>
  </si>
  <si>
    <t>Machine-54</t>
  </si>
  <si>
    <t>AST1055</t>
  </si>
  <si>
    <t>Machine-55</t>
  </si>
  <si>
    <t>2026-02-17</t>
  </si>
  <si>
    <t>AST1056</t>
  </si>
  <si>
    <t>Machine-56</t>
  </si>
  <si>
    <t>AST1057</t>
  </si>
  <si>
    <t>Machine-57</t>
  </si>
  <si>
    <t>2026-04-23</t>
  </si>
  <si>
    <t>AST1058</t>
  </si>
  <si>
    <t>Machine-58</t>
  </si>
  <si>
    <t>AST1059</t>
  </si>
  <si>
    <t>Machine-59</t>
  </si>
  <si>
    <t>2026-05-31</t>
  </si>
  <si>
    <t>AST1060</t>
  </si>
  <si>
    <t>Machine-60</t>
  </si>
  <si>
    <t>2026-05-22</t>
  </si>
  <si>
    <t>AST1061</t>
  </si>
  <si>
    <t>Machine-61</t>
  </si>
  <si>
    <t>2026-01-19</t>
  </si>
  <si>
    <t>AST1062</t>
  </si>
  <si>
    <t>Machine-62</t>
  </si>
  <si>
    <t>2026-02-06</t>
  </si>
  <si>
    <t>AST1063</t>
  </si>
  <si>
    <t>Machine-63</t>
  </si>
  <si>
    <t>AST1064</t>
  </si>
  <si>
    <t>Machine-64</t>
  </si>
  <si>
    <t>2026-05-28</t>
  </si>
  <si>
    <t>AST1065</t>
  </si>
  <si>
    <t>Machine-65</t>
  </si>
  <si>
    <t>2026-01-24</t>
  </si>
  <si>
    <t>AST1066</t>
  </si>
  <si>
    <t>Machine-66</t>
  </si>
  <si>
    <t>2026-07-28</t>
  </si>
  <si>
    <t>AST1067</t>
  </si>
  <si>
    <t>Machine-67</t>
  </si>
  <si>
    <t>2026-05-13</t>
  </si>
  <si>
    <t>AST1068</t>
  </si>
  <si>
    <t>Machine-68</t>
  </si>
  <si>
    <t>2026-06-11</t>
  </si>
  <si>
    <t>AST1069</t>
  </si>
  <si>
    <t>Machine-69</t>
  </si>
  <si>
    <t>2026-05-08</t>
  </si>
  <si>
    <t>AST1070</t>
  </si>
  <si>
    <t>Machine-70</t>
  </si>
  <si>
    <t>AST1071</t>
  </si>
  <si>
    <t>Machine-71</t>
  </si>
  <si>
    <t>2026-04-25</t>
  </si>
  <si>
    <t>AST1072</t>
  </si>
  <si>
    <t>Machine-72</t>
  </si>
  <si>
    <t>AST1073</t>
  </si>
  <si>
    <t>Machine-73</t>
  </si>
  <si>
    <t>2026-03-26</t>
  </si>
  <si>
    <t>AST1074</t>
  </si>
  <si>
    <t>Machine-74</t>
  </si>
  <si>
    <t>2026-04-12</t>
  </si>
  <si>
    <t>AST1075</t>
  </si>
  <si>
    <t>Machine-75</t>
  </si>
  <si>
    <t>2026-06-25</t>
  </si>
  <si>
    <t>AST1076</t>
  </si>
  <si>
    <t>Machine-76</t>
  </si>
  <si>
    <t>2026-03-17</t>
  </si>
  <si>
    <t>AST1077</t>
  </si>
  <si>
    <t>Machine-77</t>
  </si>
  <si>
    <t>AST1078</t>
  </si>
  <si>
    <t>Machine-78</t>
  </si>
  <si>
    <t>AST1079</t>
  </si>
  <si>
    <t>Machine-79</t>
  </si>
  <si>
    <t>AST1080</t>
  </si>
  <si>
    <t>Machine-80</t>
  </si>
  <si>
    <t>2026-06-12</t>
  </si>
  <si>
    <t>AST1081</t>
  </si>
  <si>
    <t>Machine-81</t>
  </si>
  <si>
    <t>2026-01-09</t>
  </si>
  <si>
    <t>AST1082</t>
  </si>
  <si>
    <t>Machine-82</t>
  </si>
  <si>
    <t>AST1083</t>
  </si>
  <si>
    <t>Machine-83</t>
  </si>
  <si>
    <t>2026-07-25</t>
  </si>
  <si>
    <t>AST1084</t>
  </si>
  <si>
    <t>Machine-84</t>
  </si>
  <si>
    <t>2026-07-30</t>
  </si>
  <si>
    <t>AST1085</t>
  </si>
  <si>
    <t>Machine-85</t>
  </si>
  <si>
    <t>AST1086</t>
  </si>
  <si>
    <t>Machine-86</t>
  </si>
  <si>
    <t>AST1087</t>
  </si>
  <si>
    <t>Machine-87</t>
  </si>
  <si>
    <t>2026-02-25</t>
  </si>
  <si>
    <t>AST1088</t>
  </si>
  <si>
    <t>Machine-88</t>
  </si>
  <si>
    <t>AST1089</t>
  </si>
  <si>
    <t>Machine-89</t>
  </si>
  <si>
    <t>2026-02-23</t>
  </si>
  <si>
    <t>AST1090</t>
  </si>
  <si>
    <t>Machine-90</t>
  </si>
  <si>
    <t>AST1091</t>
  </si>
  <si>
    <t>Machine-91</t>
  </si>
  <si>
    <t>2026-07-10</t>
  </si>
  <si>
    <t>AST1092</t>
  </si>
  <si>
    <t>Machine-92</t>
  </si>
  <si>
    <t>2026-05-14</t>
  </si>
  <si>
    <t>AST1093</t>
  </si>
  <si>
    <t>Machine-93</t>
  </si>
  <si>
    <t>2026-03-24</t>
  </si>
  <si>
    <t>AST1094</t>
  </si>
  <si>
    <t>Machine-94</t>
  </si>
  <si>
    <t>AST1095</t>
  </si>
  <si>
    <t>Machine-95</t>
  </si>
  <si>
    <t>2026-04-13</t>
  </si>
  <si>
    <t>AST1096</t>
  </si>
  <si>
    <t>Machine-96</t>
  </si>
  <si>
    <t>AST1097</t>
  </si>
  <si>
    <t>Machine-97</t>
  </si>
  <si>
    <t>2026-06-03</t>
  </si>
  <si>
    <t>AST1098</t>
  </si>
  <si>
    <t>Machine-98</t>
  </si>
  <si>
    <t>2026-05-27</t>
  </si>
  <si>
    <t>AST1099</t>
  </si>
  <si>
    <t>Machine-99</t>
  </si>
  <si>
    <t>AST1100</t>
  </si>
  <si>
    <t>Machine-100</t>
  </si>
  <si>
    <t>AST1101</t>
  </si>
  <si>
    <t>Machine-101</t>
  </si>
  <si>
    <t>2026-06-22</t>
  </si>
  <si>
    <t>AST1102</t>
  </si>
  <si>
    <t>Machine-102</t>
  </si>
  <si>
    <t>2026-06-23</t>
  </si>
  <si>
    <t>AST1103</t>
  </si>
  <si>
    <t>Machine-103</t>
  </si>
  <si>
    <t>2026-03-16</t>
  </si>
  <si>
    <t>AST1104</t>
  </si>
  <si>
    <t>Machine-104</t>
  </si>
  <si>
    <t>AST1105</t>
  </si>
  <si>
    <t>Machine-105</t>
  </si>
  <si>
    <t>2026-01-06</t>
  </si>
  <si>
    <t>AST1106</t>
  </si>
  <si>
    <t>Machine-106</t>
  </si>
  <si>
    <t>AST1107</t>
  </si>
  <si>
    <t>Machine-107</t>
  </si>
  <si>
    <t>2026-03-31</t>
  </si>
  <si>
    <t>AST1108</t>
  </si>
  <si>
    <t>Machine-108</t>
  </si>
  <si>
    <t>2026-07-14</t>
  </si>
  <si>
    <t>AST1109</t>
  </si>
  <si>
    <t>Machine-109</t>
  </si>
  <si>
    <t>AST1110</t>
  </si>
  <si>
    <t>Machine-110</t>
  </si>
  <si>
    <t>2026-06-07</t>
  </si>
  <si>
    <t>AST1111</t>
  </si>
  <si>
    <t>Machine-111</t>
  </si>
  <si>
    <t>AST1112</t>
  </si>
  <si>
    <t>Machine-112</t>
  </si>
  <si>
    <t>2026-04-06</t>
  </si>
  <si>
    <t>AST1113</t>
  </si>
  <si>
    <t>Machine-113</t>
  </si>
  <si>
    <t>2026-03-14</t>
  </si>
  <si>
    <t>AST1114</t>
  </si>
  <si>
    <t>Machine-114</t>
  </si>
  <si>
    <t>2026-07-01</t>
  </si>
  <si>
    <t>AST1115</t>
  </si>
  <si>
    <t>Machine-115</t>
  </si>
  <si>
    <t>2026-02-24</t>
  </si>
  <si>
    <t>AST1116</t>
  </si>
  <si>
    <t>Machine-116</t>
  </si>
  <si>
    <t>AST1117</t>
  </si>
  <si>
    <t>Machine-117</t>
  </si>
  <si>
    <t>AST1118</t>
  </si>
  <si>
    <t>Machine-118</t>
  </si>
  <si>
    <t>2026-04-29</t>
  </si>
  <si>
    <t>AST1119</t>
  </si>
  <si>
    <t>Machine-119</t>
  </si>
  <si>
    <t>2026-01-27</t>
  </si>
  <si>
    <t>AST1120</t>
  </si>
  <si>
    <t>Machine-120</t>
  </si>
  <si>
    <t>2026-04-17</t>
  </si>
  <si>
    <t>AST1121</t>
  </si>
  <si>
    <t>Machine-121</t>
  </si>
  <si>
    <t>2026-02-05</t>
  </si>
  <si>
    <t>AST1122</t>
  </si>
  <si>
    <t>Machine-122</t>
  </si>
  <si>
    <t>AST1123</t>
  </si>
  <si>
    <t>Machine-123</t>
  </si>
  <si>
    <t>AST1124</t>
  </si>
  <si>
    <t>Machine-124</t>
  </si>
  <si>
    <t>AST1125</t>
  </si>
  <si>
    <t>Machine-125</t>
  </si>
  <si>
    <t>2026-03-06</t>
  </si>
  <si>
    <t>AST1126</t>
  </si>
  <si>
    <t>Machine-126</t>
  </si>
  <si>
    <t>2026-02-14</t>
  </si>
  <si>
    <t>AST1127</t>
  </si>
  <si>
    <t>Machine-127</t>
  </si>
  <si>
    <t>2026-03-21</t>
  </si>
  <si>
    <t>AST1128</t>
  </si>
  <si>
    <t>Machine-128</t>
  </si>
  <si>
    <t>2026-07-24</t>
  </si>
  <si>
    <t>AST1129</t>
  </si>
  <si>
    <t>Machine-129</t>
  </si>
  <si>
    <t>2026-04-19</t>
  </si>
  <si>
    <t>AST1130</t>
  </si>
  <si>
    <t>Machine-130</t>
  </si>
  <si>
    <t>AST1131</t>
  </si>
  <si>
    <t>Machine-131</t>
  </si>
  <si>
    <t>2026-04-14</t>
  </si>
  <si>
    <t>AST1132</t>
  </si>
  <si>
    <t>Machine-132</t>
  </si>
  <si>
    <t>2026-04-04</t>
  </si>
  <si>
    <t>AST1133</t>
  </si>
  <si>
    <t>Machine-133</t>
  </si>
  <si>
    <t>2026-03-22</t>
  </si>
  <si>
    <t>AST1134</t>
  </si>
  <si>
    <t>Machine-134</t>
  </si>
  <si>
    <t>2026-03-15</t>
  </si>
  <si>
    <t>AST1135</t>
  </si>
  <si>
    <t>Machine-135</t>
  </si>
  <si>
    <t>AST1136</t>
  </si>
  <si>
    <t>Machine-136</t>
  </si>
  <si>
    <t>2026-01-07</t>
  </si>
  <si>
    <t>AST1137</t>
  </si>
  <si>
    <t>Machine-137</t>
  </si>
  <si>
    <t>2026-07-16</t>
  </si>
  <si>
    <t>AST1138</t>
  </si>
  <si>
    <t>Machine-138</t>
  </si>
  <si>
    <t>2026-04-21</t>
  </si>
  <si>
    <t>AST1139</t>
  </si>
  <si>
    <t>Machine-139</t>
  </si>
  <si>
    <t>2026-02-20</t>
  </si>
  <si>
    <t>AST1140</t>
  </si>
  <si>
    <t>Machine-140</t>
  </si>
  <si>
    <t>2026-07-04</t>
  </si>
  <si>
    <t>AST1141</t>
  </si>
  <si>
    <t>Machine-141</t>
  </si>
  <si>
    <t>AST1142</t>
  </si>
  <si>
    <t>Machine-142</t>
  </si>
  <si>
    <t>2026-01-16</t>
  </si>
  <si>
    <t>AST1143</t>
  </si>
  <si>
    <t>Machine-143</t>
  </si>
  <si>
    <t>2026-05-12</t>
  </si>
  <si>
    <t>AST1144</t>
  </si>
  <si>
    <t>Machine-144</t>
  </si>
  <si>
    <t>AST1145</t>
  </si>
  <si>
    <t>Machine-145</t>
  </si>
  <si>
    <t>AST1146</t>
  </si>
  <si>
    <t>Machine-146</t>
  </si>
  <si>
    <t>2026-02-04</t>
  </si>
  <si>
    <t>AST1147</t>
  </si>
  <si>
    <t>Machine-147</t>
  </si>
  <si>
    <t>AST1148</t>
  </si>
  <si>
    <t>Machine-148</t>
  </si>
  <si>
    <t>AST1149</t>
  </si>
  <si>
    <t>Machine-149</t>
  </si>
  <si>
    <t>2026-03-23</t>
  </si>
  <si>
    <t>AST1150</t>
  </si>
  <si>
    <t>Machine-150</t>
  </si>
  <si>
    <t>2026-04-05</t>
  </si>
  <si>
    <t>AST1151</t>
  </si>
  <si>
    <t>Machine-151</t>
  </si>
  <si>
    <t>2026-01-14</t>
  </si>
  <si>
    <t>AST1152</t>
  </si>
  <si>
    <t>Machine-152</t>
  </si>
  <si>
    <t>AST1153</t>
  </si>
  <si>
    <t>Machine-153</t>
  </si>
  <si>
    <t>2026-06-19</t>
  </si>
  <si>
    <t>AST1154</t>
  </si>
  <si>
    <t>Machine-154</t>
  </si>
  <si>
    <t>AST1155</t>
  </si>
  <si>
    <t>Machine-155</t>
  </si>
  <si>
    <t>2026-05-03</t>
  </si>
  <si>
    <t>AST1156</t>
  </si>
  <si>
    <t>Machine-156</t>
  </si>
  <si>
    <t>AST1157</t>
  </si>
  <si>
    <t>Machine-157</t>
  </si>
  <si>
    <t>2026-03-04</t>
  </si>
  <si>
    <t>AST1158</t>
  </si>
  <si>
    <t>Machine-158</t>
  </si>
  <si>
    <t>2026-02-10</t>
  </si>
  <si>
    <t>AST1159</t>
  </si>
  <si>
    <t>Machine-159</t>
  </si>
  <si>
    <t>2026-01-10</t>
  </si>
  <si>
    <t>AST1160</t>
  </si>
  <si>
    <t>Machine-160</t>
  </si>
  <si>
    <t>AST1161</t>
  </si>
  <si>
    <t>Machine-161</t>
  </si>
  <si>
    <t>2026-04-28</t>
  </si>
  <si>
    <t>AST1162</t>
  </si>
  <si>
    <t>Machine-162</t>
  </si>
  <si>
    <t>2026-01-25</t>
  </si>
  <si>
    <t>AST1163</t>
  </si>
  <si>
    <t>Machine-163</t>
  </si>
  <si>
    <t>2026-01-03</t>
  </si>
  <si>
    <t>AST1164</t>
  </si>
  <si>
    <t>Machine-164</t>
  </si>
  <si>
    <t>2026-01-31</t>
  </si>
  <si>
    <t>AST1165</t>
  </si>
  <si>
    <t>Machine-165</t>
  </si>
  <si>
    <t>AST1166</t>
  </si>
  <si>
    <t>Machine-166</t>
  </si>
  <si>
    <t>AST1167</t>
  </si>
  <si>
    <t>Machine-167</t>
  </si>
  <si>
    <t>AST1168</t>
  </si>
  <si>
    <t>Machine-168</t>
  </si>
  <si>
    <t>AST1169</t>
  </si>
  <si>
    <t>Machine-169</t>
  </si>
  <si>
    <t>AST1170</t>
  </si>
  <si>
    <t>Machine-170</t>
  </si>
  <si>
    <t>2026-04-11</t>
  </si>
  <si>
    <t>AST1171</t>
  </si>
  <si>
    <t>Machine-171</t>
  </si>
  <si>
    <t>AST1172</t>
  </si>
  <si>
    <t>Machine-172</t>
  </si>
  <si>
    <t>AST1173</t>
  </si>
  <si>
    <t>Machine-173</t>
  </si>
  <si>
    <t>AST1174</t>
  </si>
  <si>
    <t>Machine-174</t>
  </si>
  <si>
    <t>2026-07-08</t>
  </si>
  <si>
    <t>AST1175</t>
  </si>
  <si>
    <t>Machine-175</t>
  </si>
  <si>
    <t>AST1176</t>
  </si>
  <si>
    <t>Machine-176</t>
  </si>
  <si>
    <t>2026-04-10</t>
  </si>
  <si>
    <t>AST1177</t>
  </si>
  <si>
    <t>Machine-177</t>
  </si>
  <si>
    <t>2026-01-11</t>
  </si>
  <si>
    <t>AST1178</t>
  </si>
  <si>
    <t>Machine-178</t>
  </si>
  <si>
    <t>2026-07-09</t>
  </si>
  <si>
    <t>AST1179</t>
  </si>
  <si>
    <t>Machine-179</t>
  </si>
  <si>
    <t>2026-03-20</t>
  </si>
  <si>
    <t>AST1180</t>
  </si>
  <si>
    <t>Machine-180</t>
  </si>
  <si>
    <t>AST1181</t>
  </si>
  <si>
    <t>Machine-181</t>
  </si>
  <si>
    <t>AST1182</t>
  </si>
  <si>
    <t>Machine-182</t>
  </si>
  <si>
    <t>AST1183</t>
  </si>
  <si>
    <t>Machine-183</t>
  </si>
  <si>
    <t>AST1184</t>
  </si>
  <si>
    <t>Machine-184</t>
  </si>
  <si>
    <t>2026-04-16</t>
  </si>
  <si>
    <t>AST1185</t>
  </si>
  <si>
    <t>Machine-185</t>
  </si>
  <si>
    <t>2026-02-19</t>
  </si>
  <si>
    <t>AST1186</t>
  </si>
  <si>
    <t>Machine-186</t>
  </si>
  <si>
    <t>AST1187</t>
  </si>
  <si>
    <t>Machine-187</t>
  </si>
  <si>
    <t>2026-06-15</t>
  </si>
  <si>
    <t>AST1188</t>
  </si>
  <si>
    <t>Machine-188</t>
  </si>
  <si>
    <t>2026-05-20</t>
  </si>
  <si>
    <t>AST1189</t>
  </si>
  <si>
    <t>Machine-189</t>
  </si>
  <si>
    <t>AST1190</t>
  </si>
  <si>
    <t>Machine-190</t>
  </si>
  <si>
    <t>2026-03-01</t>
  </si>
  <si>
    <t>AST1191</t>
  </si>
  <si>
    <t>Machine-191</t>
  </si>
  <si>
    <t>AST1192</t>
  </si>
  <si>
    <t>Machine-192</t>
  </si>
  <si>
    <t>AST1193</t>
  </si>
  <si>
    <t>Machine-193</t>
  </si>
  <si>
    <t>2026-05-23</t>
  </si>
  <si>
    <t>AST1194</t>
  </si>
  <si>
    <t>Machine-194</t>
  </si>
  <si>
    <t>2026-07-05</t>
  </si>
  <si>
    <t>AST1195</t>
  </si>
  <si>
    <t>Machine-195</t>
  </si>
  <si>
    <t>2026-03-12</t>
  </si>
  <si>
    <t>AST1196</t>
  </si>
  <si>
    <t>Machine-196</t>
  </si>
  <si>
    <t>AST1197</t>
  </si>
  <si>
    <t>Machine-197</t>
  </si>
  <si>
    <t>AST1198</t>
  </si>
  <si>
    <t>Machine-198</t>
  </si>
  <si>
    <t>AST1199</t>
  </si>
  <si>
    <t>Machine-199</t>
  </si>
  <si>
    <t>AST1200</t>
  </si>
  <si>
    <t>Machine-200</t>
  </si>
  <si>
    <t>2026-05-30</t>
  </si>
  <si>
    <t>AST1201</t>
  </si>
  <si>
    <t>Machine-201</t>
  </si>
  <si>
    <t>AST1202</t>
  </si>
  <si>
    <t>Machine-202</t>
  </si>
  <si>
    <t>AST1203</t>
  </si>
  <si>
    <t>Machine-203</t>
  </si>
  <si>
    <t>2026-01-22</t>
  </si>
  <si>
    <t>AST1204</t>
  </si>
  <si>
    <t>Machine-204</t>
  </si>
  <si>
    <t>AST1205</t>
  </si>
  <si>
    <t>Machine-205</t>
  </si>
  <si>
    <t>AST1206</t>
  </si>
  <si>
    <t>Machine-206</t>
  </si>
  <si>
    <t>AST1207</t>
  </si>
  <si>
    <t>Machine-207</t>
  </si>
  <si>
    <t>AST1208</t>
  </si>
  <si>
    <t>Machine-208</t>
  </si>
  <si>
    <t>AST1209</t>
  </si>
  <si>
    <t>Machine-209</t>
  </si>
  <si>
    <t>2026-01-30</t>
  </si>
  <si>
    <t>AST1210</t>
  </si>
  <si>
    <t>Machine-210</t>
  </si>
  <si>
    <t>AST1211</t>
  </si>
  <si>
    <t>Machine-211</t>
  </si>
  <si>
    <t>2026-05-24</t>
  </si>
  <si>
    <t>AST1212</t>
  </si>
  <si>
    <t>Machine-212</t>
  </si>
  <si>
    <t>AST1213</t>
  </si>
  <si>
    <t>Machine-213</t>
  </si>
  <si>
    <t>2026-07-18</t>
  </si>
  <si>
    <t>AST1214</t>
  </si>
  <si>
    <t>Machine-214</t>
  </si>
  <si>
    <t>AST1215</t>
  </si>
  <si>
    <t>Machine-215</t>
  </si>
  <si>
    <t>2026-06-06</t>
  </si>
  <si>
    <t>AST1216</t>
  </si>
  <si>
    <t>Machine-216</t>
  </si>
  <si>
    <t>2026-06-30</t>
  </si>
  <si>
    <t>AST1217</t>
  </si>
  <si>
    <t>Machine-217</t>
  </si>
  <si>
    <t>AST1218</t>
  </si>
  <si>
    <t>Machine-218</t>
  </si>
  <si>
    <t>2026-07-23</t>
  </si>
  <si>
    <t>AST1219</t>
  </si>
  <si>
    <t>Machine-219</t>
  </si>
  <si>
    <t>AST1220</t>
  </si>
  <si>
    <t>Machine-220</t>
  </si>
  <si>
    <t>2026-02-03</t>
  </si>
  <si>
    <t>AST1221</t>
  </si>
  <si>
    <t>Machine-221</t>
  </si>
  <si>
    <t>AST1222</t>
  </si>
  <si>
    <t>Machine-222</t>
  </si>
  <si>
    <t>AST1223</t>
  </si>
  <si>
    <t>Machine-223</t>
  </si>
  <si>
    <t>AST1224</t>
  </si>
  <si>
    <t>Machine-224</t>
  </si>
  <si>
    <t>AST1225</t>
  </si>
  <si>
    <t>Machine-225</t>
  </si>
  <si>
    <t>AST1226</t>
  </si>
  <si>
    <t>Machine-226</t>
  </si>
  <si>
    <t>AST1227</t>
  </si>
  <si>
    <t>Machine-227</t>
  </si>
  <si>
    <t>AST1228</t>
  </si>
  <si>
    <t>Machine-228</t>
  </si>
  <si>
    <t>2026-05-16</t>
  </si>
  <si>
    <t>AST1229</t>
  </si>
  <si>
    <t>Machine-229</t>
  </si>
  <si>
    <t>AST1230</t>
  </si>
  <si>
    <t>Machine-230</t>
  </si>
  <si>
    <t>2026-05-18</t>
  </si>
  <si>
    <t>AST1231</t>
  </si>
  <si>
    <t>Machine-231</t>
  </si>
  <si>
    <t>2026-06-24</t>
  </si>
  <si>
    <t>AST1232</t>
  </si>
  <si>
    <t>Machine-232</t>
  </si>
  <si>
    <t>AST1233</t>
  </si>
  <si>
    <t>Machine-233</t>
  </si>
  <si>
    <t>2026-07-07</t>
  </si>
  <si>
    <t>AST1234</t>
  </si>
  <si>
    <t>Machine-234</t>
  </si>
  <si>
    <t>2026-05-26</t>
  </si>
  <si>
    <t>AST1235</t>
  </si>
  <si>
    <t>Machine-235</t>
  </si>
  <si>
    <t>2026-04-09</t>
  </si>
  <si>
    <t>AST1236</t>
  </si>
  <si>
    <t>Machine-236</t>
  </si>
  <si>
    <t>AST1237</t>
  </si>
  <si>
    <t>Machine-237</t>
  </si>
  <si>
    <t>2026-03-25</t>
  </si>
  <si>
    <t>AST1238</t>
  </si>
  <si>
    <t>Machine-238</t>
  </si>
  <si>
    <t>AST1239</t>
  </si>
  <si>
    <t>Machine-239</t>
  </si>
  <si>
    <t>AST1240</t>
  </si>
  <si>
    <t>Machine-240</t>
  </si>
  <si>
    <t>AST1241</t>
  </si>
  <si>
    <t>Machine-241</t>
  </si>
  <si>
    <t>2026-03-02</t>
  </si>
  <si>
    <t>AST1242</t>
  </si>
  <si>
    <t>Machine-242</t>
  </si>
  <si>
    <t>2026-07-19</t>
  </si>
  <si>
    <t>AST1243</t>
  </si>
  <si>
    <t>Machine-243</t>
  </si>
  <si>
    <t>AST1244</t>
  </si>
  <si>
    <t>Machine-244</t>
  </si>
  <si>
    <t>AST1245</t>
  </si>
  <si>
    <t>Machine-245</t>
  </si>
  <si>
    <t>AST1246</t>
  </si>
  <si>
    <t>Machine-246</t>
  </si>
  <si>
    <t>AST1247</t>
  </si>
  <si>
    <t>Machine-247</t>
  </si>
  <si>
    <t>AST1248</t>
  </si>
  <si>
    <t>Machine-248</t>
  </si>
  <si>
    <t>AST1249</t>
  </si>
  <si>
    <t>Machine-249</t>
  </si>
  <si>
    <t>AST1250</t>
  </si>
  <si>
    <t>Machine-250</t>
  </si>
  <si>
    <t>2026-02-26</t>
  </si>
  <si>
    <t>AST1251</t>
  </si>
  <si>
    <t>Machine-251</t>
  </si>
  <si>
    <t>AST1252</t>
  </si>
  <si>
    <t>Machine-252</t>
  </si>
  <si>
    <t>2026-01-08</t>
  </si>
  <si>
    <t>AST1253</t>
  </si>
  <si>
    <t>Machine-253</t>
  </si>
  <si>
    <t>AST1254</t>
  </si>
  <si>
    <t>Machine-254</t>
  </si>
  <si>
    <t>AST1255</t>
  </si>
  <si>
    <t>Machine-255</t>
  </si>
  <si>
    <t>AST1256</t>
  </si>
  <si>
    <t>Machine-256</t>
  </si>
  <si>
    <t>2026-06-26</t>
  </si>
  <si>
    <t>AST1257</t>
  </si>
  <si>
    <t>Machine-257</t>
  </si>
  <si>
    <t>AST1258</t>
  </si>
  <si>
    <t>Machine-258</t>
  </si>
  <si>
    <t>2026-03-27</t>
  </si>
  <si>
    <t>AST1259</t>
  </si>
  <si>
    <t>Machine-259</t>
  </si>
  <si>
    <t>AST1260</t>
  </si>
  <si>
    <t>Machine-260</t>
  </si>
  <si>
    <t>AST1261</t>
  </si>
  <si>
    <t>Machine-261</t>
  </si>
  <si>
    <t>2026-05-04</t>
  </si>
  <si>
    <t>AST1262</t>
  </si>
  <si>
    <t>Machine-262</t>
  </si>
  <si>
    <t>2026-05-19</t>
  </si>
  <si>
    <t>AST1263</t>
  </si>
  <si>
    <t>Machine-263</t>
  </si>
  <si>
    <t>AST1264</t>
  </si>
  <si>
    <t>Machine-264</t>
  </si>
  <si>
    <t>AST1265</t>
  </si>
  <si>
    <t>Machine-265</t>
  </si>
  <si>
    <t>2026-05-25</t>
  </si>
  <si>
    <t>AST1266</t>
  </si>
  <si>
    <t>Machine-266</t>
  </si>
  <si>
    <t>2026-07-29</t>
  </si>
  <si>
    <t>AST1267</t>
  </si>
  <si>
    <t>Machine-267</t>
  </si>
  <si>
    <t>AST1268</t>
  </si>
  <si>
    <t>Machine-268</t>
  </si>
  <si>
    <t>AST1269</t>
  </si>
  <si>
    <t>Machine-269</t>
  </si>
  <si>
    <t>AST1270</t>
  </si>
  <si>
    <t>Machine-270</t>
  </si>
  <si>
    <t>2026-01-28</t>
  </si>
  <si>
    <t>AST1271</t>
  </si>
  <si>
    <t>Machine-271</t>
  </si>
  <si>
    <t>AST1272</t>
  </si>
  <si>
    <t>Machine-272</t>
  </si>
  <si>
    <t>AST1273</t>
  </si>
  <si>
    <t>Machine-273</t>
  </si>
  <si>
    <t>AST1274</t>
  </si>
  <si>
    <t>Machine-274</t>
  </si>
  <si>
    <t>AST1275</t>
  </si>
  <si>
    <t>Machine-275</t>
  </si>
  <si>
    <t>AST1276</t>
  </si>
  <si>
    <t>Machine-276</t>
  </si>
  <si>
    <t>2026-05-06</t>
  </si>
  <si>
    <t>AST1277</t>
  </si>
  <si>
    <t>Machine-277</t>
  </si>
  <si>
    <t>AST1278</t>
  </si>
  <si>
    <t>Machine-278</t>
  </si>
  <si>
    <t>AST1279</t>
  </si>
  <si>
    <t>Machine-279</t>
  </si>
  <si>
    <t>2026-04-30</t>
  </si>
  <si>
    <t>AST1280</t>
  </si>
  <si>
    <t>Machine-280</t>
  </si>
  <si>
    <t>AST1281</t>
  </si>
  <si>
    <t>Machine-281</t>
  </si>
  <si>
    <t>AST1282</t>
  </si>
  <si>
    <t>Machine-282</t>
  </si>
  <si>
    <t>AST1283</t>
  </si>
  <si>
    <t>Machine-283</t>
  </si>
  <si>
    <t>2026-02-16</t>
  </si>
  <si>
    <t>AST1284</t>
  </si>
  <si>
    <t>Machine-284</t>
  </si>
  <si>
    <t>AST1285</t>
  </si>
  <si>
    <t>Machine-285</t>
  </si>
  <si>
    <t>AST1286</t>
  </si>
  <si>
    <t>Machine-286</t>
  </si>
  <si>
    <t>AST1287</t>
  </si>
  <si>
    <t>Machine-287</t>
  </si>
  <si>
    <t>AST1288</t>
  </si>
  <si>
    <t>Machine-288</t>
  </si>
  <si>
    <t>2026-05-17</t>
  </si>
  <si>
    <t>AST1289</t>
  </si>
  <si>
    <t>Machine-289</t>
  </si>
  <si>
    <t>AST1290</t>
  </si>
  <si>
    <t>Machine-290</t>
  </si>
  <si>
    <t>2026-04-02</t>
  </si>
  <si>
    <t>AST1291</t>
  </si>
  <si>
    <t>Machine-291</t>
  </si>
  <si>
    <t>AST1292</t>
  </si>
  <si>
    <t>Machine-292</t>
  </si>
  <si>
    <t>AST1293</t>
  </si>
  <si>
    <t>Machine-293</t>
  </si>
  <si>
    <t>2026-06-09</t>
  </si>
  <si>
    <t>AST1294</t>
  </si>
  <si>
    <t>Machine-294</t>
  </si>
  <si>
    <t>AST1295</t>
  </si>
  <si>
    <t>Machine-295</t>
  </si>
  <si>
    <t>2026-01-04</t>
  </si>
  <si>
    <t>AST1296</t>
  </si>
  <si>
    <t>Machine-296</t>
  </si>
  <si>
    <t>AST1297</t>
  </si>
  <si>
    <t>Machine-297</t>
  </si>
  <si>
    <t>AST1298</t>
  </si>
  <si>
    <t>Machine-298</t>
  </si>
  <si>
    <t>AST1299</t>
  </si>
  <si>
    <t>Machine-299</t>
  </si>
  <si>
    <t>AST1300</t>
  </si>
  <si>
    <t>Machine-300</t>
  </si>
  <si>
    <t>AST1301</t>
  </si>
  <si>
    <t>Machine-301</t>
  </si>
  <si>
    <t>AST1302</t>
  </si>
  <si>
    <t>Machine-302</t>
  </si>
  <si>
    <t>AST1303</t>
  </si>
  <si>
    <t>Machine-303</t>
  </si>
  <si>
    <t>AST1304</t>
  </si>
  <si>
    <t>Machine-304</t>
  </si>
  <si>
    <t>AST1305</t>
  </si>
  <si>
    <t>Machine-305</t>
  </si>
  <si>
    <t>AST1306</t>
  </si>
  <si>
    <t>Machine-306</t>
  </si>
  <si>
    <t>AST1307</t>
  </si>
  <si>
    <t>Machine-307</t>
  </si>
  <si>
    <t>AST1308</t>
  </si>
  <si>
    <t>Machine-308</t>
  </si>
  <si>
    <t>AST1309</t>
  </si>
  <si>
    <t>Machine-309</t>
  </si>
  <si>
    <t>AST1310</t>
  </si>
  <si>
    <t>Machine-310</t>
  </si>
  <si>
    <t>AST1311</t>
  </si>
  <si>
    <t>Machine-311</t>
  </si>
  <si>
    <t>AST1312</t>
  </si>
  <si>
    <t>Machine-312</t>
  </si>
  <si>
    <t>AST1313</t>
  </si>
  <si>
    <t>Machine-313</t>
  </si>
  <si>
    <t>AST1314</t>
  </si>
  <si>
    <t>Machine-314</t>
  </si>
  <si>
    <t>AST1315</t>
  </si>
  <si>
    <t>Machine-315</t>
  </si>
  <si>
    <t>AST1316</t>
  </si>
  <si>
    <t>Machine-316</t>
  </si>
  <si>
    <t>AST1317</t>
  </si>
  <si>
    <t>Machine-317</t>
  </si>
  <si>
    <t>AST1318</t>
  </si>
  <si>
    <t>Machine-318</t>
  </si>
  <si>
    <t>AST1319</t>
  </si>
  <si>
    <t>Machine-319</t>
  </si>
  <si>
    <t>AST1320</t>
  </si>
  <si>
    <t>Machine-320</t>
  </si>
  <si>
    <t>AST1321</t>
  </si>
  <si>
    <t>Machine-321</t>
  </si>
  <si>
    <t>AST1322</t>
  </si>
  <si>
    <t>Machine-322</t>
  </si>
  <si>
    <t>AST1323</t>
  </si>
  <si>
    <t>Machine-323</t>
  </si>
  <si>
    <t>AST1324</t>
  </si>
  <si>
    <t>Machine-324</t>
  </si>
  <si>
    <t>AST1325</t>
  </si>
  <si>
    <t>Machine-325</t>
  </si>
  <si>
    <t>AST1326</t>
  </si>
  <si>
    <t>Machine-326</t>
  </si>
  <si>
    <t>AST1327</t>
  </si>
  <si>
    <t>Machine-327</t>
  </si>
  <si>
    <t>AST1328</t>
  </si>
  <si>
    <t>Machine-328</t>
  </si>
  <si>
    <t>AST1329</t>
  </si>
  <si>
    <t>Machine-329</t>
  </si>
  <si>
    <t>AST1330</t>
  </si>
  <si>
    <t>Machine-330</t>
  </si>
  <si>
    <t>AST1331</t>
  </si>
  <si>
    <t>Machine-331</t>
  </si>
  <si>
    <t>AST1332</t>
  </si>
  <si>
    <t>Machine-332</t>
  </si>
  <si>
    <t>2026-06-18</t>
  </si>
  <si>
    <t>AST1333</t>
  </si>
  <si>
    <t>Machine-333</t>
  </si>
  <si>
    <t>AST1334</t>
  </si>
  <si>
    <t>Machine-334</t>
  </si>
  <si>
    <t>2026-06-05</t>
  </si>
  <si>
    <t>AST1335</t>
  </si>
  <si>
    <t>Machine-335</t>
  </si>
  <si>
    <t>AST1336</t>
  </si>
  <si>
    <t>Machine-336</t>
  </si>
  <si>
    <t>AST1337</t>
  </si>
  <si>
    <t>Machine-337</t>
  </si>
  <si>
    <t>AST1338</t>
  </si>
  <si>
    <t>Machine-338</t>
  </si>
  <si>
    <t>2026-01-17</t>
  </si>
  <si>
    <t>AST1339</t>
  </si>
  <si>
    <t>Machine-339</t>
  </si>
  <si>
    <t>AST1340</t>
  </si>
  <si>
    <t>Machine-340</t>
  </si>
  <si>
    <t>AST1341</t>
  </si>
  <si>
    <t>Machine-341</t>
  </si>
  <si>
    <t>AST1342</t>
  </si>
  <si>
    <t>Machine-342</t>
  </si>
  <si>
    <t>AST1343</t>
  </si>
  <si>
    <t>Machine-343</t>
  </si>
  <si>
    <t>AST1344</t>
  </si>
  <si>
    <t>Machine-344</t>
  </si>
  <si>
    <t>AST1345</t>
  </si>
  <si>
    <t>Machine-345</t>
  </si>
  <si>
    <t>AST1346</t>
  </si>
  <si>
    <t>Machine-346</t>
  </si>
  <si>
    <t>2026-02-21</t>
  </si>
  <si>
    <t>AST1347</t>
  </si>
  <si>
    <t>Machine-347</t>
  </si>
  <si>
    <t>AST1348</t>
  </si>
  <si>
    <t>Machine-348</t>
  </si>
  <si>
    <t>AST1349</t>
  </si>
  <si>
    <t>Machine-349</t>
  </si>
  <si>
    <t>AST1350</t>
  </si>
  <si>
    <t>Machine-350</t>
  </si>
  <si>
    <t>AST1351</t>
  </si>
  <si>
    <t>Machine-351</t>
  </si>
  <si>
    <t>AST1352</t>
  </si>
  <si>
    <t>Machine-352</t>
  </si>
  <si>
    <t>AST1353</t>
  </si>
  <si>
    <t>Machine-353</t>
  </si>
  <si>
    <t>2026-02-11</t>
  </si>
  <si>
    <t>AST1354</t>
  </si>
  <si>
    <t>Machine-354</t>
  </si>
  <si>
    <t>AST1355</t>
  </si>
  <si>
    <t>Machine-355</t>
  </si>
  <si>
    <t>AST1356</t>
  </si>
  <si>
    <t>Machine-356</t>
  </si>
  <si>
    <t>AST1357</t>
  </si>
  <si>
    <t>Machine-357</t>
  </si>
  <si>
    <t>AST1358</t>
  </si>
  <si>
    <t>Machine-358</t>
  </si>
  <si>
    <t>AST1359</t>
  </si>
  <si>
    <t>Machine-359</t>
  </si>
  <si>
    <t>2026-07-13</t>
  </si>
  <si>
    <t>AST1360</t>
  </si>
  <si>
    <t>Machine-360</t>
  </si>
  <si>
    <t>AST1361</t>
  </si>
  <si>
    <t>Machine-361</t>
  </si>
  <si>
    <t>AST1362</t>
  </si>
  <si>
    <t>Machine-362</t>
  </si>
  <si>
    <t>AST1363</t>
  </si>
  <si>
    <t>Machine-363</t>
  </si>
  <si>
    <t>AST1364</t>
  </si>
  <si>
    <t>Machine-364</t>
  </si>
  <si>
    <t>AST1365</t>
  </si>
  <si>
    <t>Machine-365</t>
  </si>
  <si>
    <t>AST1366</t>
  </si>
  <si>
    <t>Machine-366</t>
  </si>
  <si>
    <t>AST1367</t>
  </si>
  <si>
    <t>Machine-367</t>
  </si>
  <si>
    <t>AST1368</t>
  </si>
  <si>
    <t>Machine-368</t>
  </si>
  <si>
    <t>2026-04-18</t>
  </si>
  <si>
    <t>AST1369</t>
  </si>
  <si>
    <t>Machine-369</t>
  </si>
  <si>
    <t>AST1370</t>
  </si>
  <si>
    <t>Machine-370</t>
  </si>
  <si>
    <t>2026-03-30</t>
  </si>
  <si>
    <t>AST1371</t>
  </si>
  <si>
    <t>Machine-371</t>
  </si>
  <si>
    <t>AST1372</t>
  </si>
  <si>
    <t>Machine-372</t>
  </si>
  <si>
    <t>AST1373</t>
  </si>
  <si>
    <t>Machine-373</t>
  </si>
  <si>
    <t>AST1374</t>
  </si>
  <si>
    <t>Machine-374</t>
  </si>
  <si>
    <t>2026-05-02</t>
  </si>
  <si>
    <t>AST1375</t>
  </si>
  <si>
    <t>Machine-375</t>
  </si>
  <si>
    <t>AST1376</t>
  </si>
  <si>
    <t>Machine-376</t>
  </si>
  <si>
    <t>AST1377</t>
  </si>
  <si>
    <t>Machine-377</t>
  </si>
  <si>
    <t>2026-05-15</t>
  </si>
  <si>
    <t>AST1378</t>
  </si>
  <si>
    <t>Machine-378</t>
  </si>
  <si>
    <t>AST1379</t>
  </si>
  <si>
    <t>Machine-379</t>
  </si>
  <si>
    <t>AST1380</t>
  </si>
  <si>
    <t>Machine-380</t>
  </si>
  <si>
    <t>AST1381</t>
  </si>
  <si>
    <t>Machine-381</t>
  </si>
  <si>
    <t>2026-06-13</t>
  </si>
  <si>
    <t>AST1382</t>
  </si>
  <si>
    <t>Machine-382</t>
  </si>
  <si>
    <t>AST1383</t>
  </si>
  <si>
    <t>Machine-383</t>
  </si>
  <si>
    <t>AST1384</t>
  </si>
  <si>
    <t>Machine-384</t>
  </si>
  <si>
    <t>AST1385</t>
  </si>
  <si>
    <t>Machine-385</t>
  </si>
  <si>
    <t>AST1386</t>
  </si>
  <si>
    <t>Machine-386</t>
  </si>
  <si>
    <t>AST1387</t>
  </si>
  <si>
    <t>Machine-387</t>
  </si>
  <si>
    <t>AST1388</t>
  </si>
  <si>
    <t>Machine-388</t>
  </si>
  <si>
    <t>AST1389</t>
  </si>
  <si>
    <t>Machine-389</t>
  </si>
  <si>
    <t>AST1390</t>
  </si>
  <si>
    <t>Machine-390</t>
  </si>
  <si>
    <t>AST1391</t>
  </si>
  <si>
    <t>Machine-391</t>
  </si>
  <si>
    <t>AST1392</t>
  </si>
  <si>
    <t>Machine-392</t>
  </si>
  <si>
    <t>AST1393</t>
  </si>
  <si>
    <t>Machine-393</t>
  </si>
  <si>
    <t>AST1394</t>
  </si>
  <si>
    <t>Machine-394</t>
  </si>
  <si>
    <t>AST1395</t>
  </si>
  <si>
    <t>Machine-395</t>
  </si>
  <si>
    <t>AST1396</t>
  </si>
  <si>
    <t>Machine-396</t>
  </si>
  <si>
    <t>AST1397</t>
  </si>
  <si>
    <t>Machine-397</t>
  </si>
  <si>
    <t>AST1398</t>
  </si>
  <si>
    <t>Machine-398</t>
  </si>
  <si>
    <t>AST1399</t>
  </si>
  <si>
    <t>Machine-399</t>
  </si>
  <si>
    <t>AST1400</t>
  </si>
  <si>
    <t>Machine-400</t>
  </si>
  <si>
    <t>2026-01-05</t>
  </si>
  <si>
    <t>AST1401</t>
  </si>
  <si>
    <t>Machine-401</t>
  </si>
  <si>
    <t>AST1402</t>
  </si>
  <si>
    <t>Machine-402</t>
  </si>
  <si>
    <t>AST1403</t>
  </si>
  <si>
    <t>Machine-403</t>
  </si>
  <si>
    <t>2026-07-17</t>
  </si>
  <si>
    <t>AST1404</t>
  </si>
  <si>
    <t>Machine-404</t>
  </si>
  <si>
    <t>AST1405</t>
  </si>
  <si>
    <t>Machine-405</t>
  </si>
  <si>
    <t>AST1406</t>
  </si>
  <si>
    <t>Machine-406</t>
  </si>
  <si>
    <t>AST1407</t>
  </si>
  <si>
    <t>Machine-407</t>
  </si>
  <si>
    <t>AST1408</t>
  </si>
  <si>
    <t>Machine-408</t>
  </si>
  <si>
    <t>AST1409</t>
  </si>
  <si>
    <t>Machine-409</t>
  </si>
  <si>
    <t>AST1410</t>
  </si>
  <si>
    <t>Machine-410</t>
  </si>
  <si>
    <t>AST1411</t>
  </si>
  <si>
    <t>Machine-411</t>
  </si>
  <si>
    <t>2026-02-13</t>
  </si>
  <si>
    <t>AST1412</t>
  </si>
  <si>
    <t>Machine-412</t>
  </si>
  <si>
    <t>2026-04-03</t>
  </si>
  <si>
    <t>AST1413</t>
  </si>
  <si>
    <t>Machine-413</t>
  </si>
  <si>
    <t>AST1414</t>
  </si>
  <si>
    <t>Machine-414</t>
  </si>
  <si>
    <t>AST1415</t>
  </si>
  <si>
    <t>Machine-415</t>
  </si>
  <si>
    <t>AST1416</t>
  </si>
  <si>
    <t>Machine-416</t>
  </si>
  <si>
    <t>AST1417</t>
  </si>
  <si>
    <t>Machine-417</t>
  </si>
  <si>
    <t>AST1418</t>
  </si>
  <si>
    <t>Machine-418</t>
  </si>
  <si>
    <t>AST1419</t>
  </si>
  <si>
    <t>Machine-419</t>
  </si>
  <si>
    <t>AST1420</t>
  </si>
  <si>
    <t>Machine-420</t>
  </si>
  <si>
    <t>AST1421</t>
  </si>
  <si>
    <t>Machine-421</t>
  </si>
  <si>
    <t>AST1422</t>
  </si>
  <si>
    <t>Machine-422</t>
  </si>
  <si>
    <t>AST1423</t>
  </si>
  <si>
    <t>Machine-423</t>
  </si>
  <si>
    <t>AST1424</t>
  </si>
  <si>
    <t>Machine-424</t>
  </si>
  <si>
    <t>AST1425</t>
  </si>
  <si>
    <t>Machine-425</t>
  </si>
  <si>
    <t>AST1426</t>
  </si>
  <si>
    <t>Machine-426</t>
  </si>
  <si>
    <t>2026-07-02</t>
  </si>
  <si>
    <t>AST1427</t>
  </si>
  <si>
    <t>Machine-427</t>
  </si>
  <si>
    <t>AST1428</t>
  </si>
  <si>
    <t>Machine-428</t>
  </si>
  <si>
    <t>AST1429</t>
  </si>
  <si>
    <t>Machine-429</t>
  </si>
  <si>
    <t>AST1430</t>
  </si>
  <si>
    <t>Machine-430</t>
  </si>
  <si>
    <t>AST1431</t>
  </si>
  <si>
    <t>Machine-431</t>
  </si>
  <si>
    <t>AST1432</t>
  </si>
  <si>
    <t>Machine-432</t>
  </si>
  <si>
    <t>AST1433</t>
  </si>
  <si>
    <t>Machine-433</t>
  </si>
  <si>
    <t>AST1434</t>
  </si>
  <si>
    <t>Machine-434</t>
  </si>
  <si>
    <t>AST1435</t>
  </si>
  <si>
    <t>Machine-435</t>
  </si>
  <si>
    <t>AST1436</t>
  </si>
  <si>
    <t>Machine-436</t>
  </si>
  <si>
    <t>AST1437</t>
  </si>
  <si>
    <t>Machine-437</t>
  </si>
  <si>
    <t>AST1438</t>
  </si>
  <si>
    <t>Machine-438</t>
  </si>
  <si>
    <t>AST1439</t>
  </si>
  <si>
    <t>Machine-439</t>
  </si>
  <si>
    <t>AST1440</t>
  </si>
  <si>
    <t>Machine-440</t>
  </si>
  <si>
    <t>AST1441</t>
  </si>
  <si>
    <t>Machine-441</t>
  </si>
  <si>
    <t>AST1442</t>
  </si>
  <si>
    <t>Machine-442</t>
  </si>
  <si>
    <t>AST1443</t>
  </si>
  <si>
    <t>Machine-443</t>
  </si>
  <si>
    <t>AST1444</t>
  </si>
  <si>
    <t>Machine-444</t>
  </si>
  <si>
    <t>2026-01-02</t>
  </si>
  <si>
    <t>AST1445</t>
  </si>
  <si>
    <t>Machine-445</t>
  </si>
  <si>
    <t>AST1446</t>
  </si>
  <si>
    <t>Machine-446</t>
  </si>
  <si>
    <t>AST1447</t>
  </si>
  <si>
    <t>Machine-447</t>
  </si>
  <si>
    <t>2026-03-28</t>
  </si>
  <si>
    <t>AST1448</t>
  </si>
  <si>
    <t>Machine-448</t>
  </si>
  <si>
    <t>AST1449</t>
  </si>
  <si>
    <t>Machine-449</t>
  </si>
  <si>
    <t>AST1450</t>
  </si>
  <si>
    <t>Machine-450</t>
  </si>
  <si>
    <t>AST1451</t>
  </si>
  <si>
    <t>Machine-451</t>
  </si>
  <si>
    <t>2026-05-11</t>
  </si>
  <si>
    <t>AST1452</t>
  </si>
  <si>
    <t>Machine-452</t>
  </si>
  <si>
    <t>2026-06-08</t>
  </si>
  <si>
    <t>AST1453</t>
  </si>
  <si>
    <t>Machine-453</t>
  </si>
  <si>
    <t>AST1454</t>
  </si>
  <si>
    <t>Machine-454</t>
  </si>
  <si>
    <t>AST1455</t>
  </si>
  <si>
    <t>Machine-455</t>
  </si>
  <si>
    <t>2026-07-27</t>
  </si>
  <si>
    <t>AST1456</t>
  </si>
  <si>
    <t>Machine-456</t>
  </si>
  <si>
    <t>AST1457</t>
  </si>
  <si>
    <t>Machine-457</t>
  </si>
  <si>
    <t>AST1458</t>
  </si>
  <si>
    <t>Machine-458</t>
  </si>
  <si>
    <t>2026-04-08</t>
  </si>
  <si>
    <t>AST1459</t>
  </si>
  <si>
    <t>Machine-459</t>
  </si>
  <si>
    <t>2026-02-02</t>
  </si>
  <si>
    <t>AST1460</t>
  </si>
  <si>
    <t>Machine-460</t>
  </si>
  <si>
    <t>2026-04-27</t>
  </si>
  <si>
    <t>AST1461</t>
  </si>
  <si>
    <t>Machine-461</t>
  </si>
  <si>
    <t>AST1462</t>
  </si>
  <si>
    <t>Machine-462</t>
  </si>
  <si>
    <t>AST1463</t>
  </si>
  <si>
    <t>Machine-463</t>
  </si>
  <si>
    <t>AST1464</t>
  </si>
  <si>
    <t>Machine-464</t>
  </si>
  <si>
    <t>2026-04-01</t>
  </si>
  <si>
    <t>AST1465</t>
  </si>
  <si>
    <t>Machine-465</t>
  </si>
  <si>
    <t>AST1466</t>
  </si>
  <si>
    <t>Machine-466</t>
  </si>
  <si>
    <t>AST1467</t>
  </si>
  <si>
    <t>Machine-467</t>
  </si>
  <si>
    <t>AST1468</t>
  </si>
  <si>
    <t>Machine-468</t>
  </si>
  <si>
    <t>AST1469</t>
  </si>
  <si>
    <t>Machine-469</t>
  </si>
  <si>
    <t>AST1470</t>
  </si>
  <si>
    <t>Machine-470</t>
  </si>
  <si>
    <t>AST1471</t>
  </si>
  <si>
    <t>Machine-471</t>
  </si>
  <si>
    <t>AST1472</t>
  </si>
  <si>
    <t>Machine-472</t>
  </si>
  <si>
    <t>AST1473</t>
  </si>
  <si>
    <t>Machine-473</t>
  </si>
  <si>
    <t>AST1474</t>
  </si>
  <si>
    <t>Machine-474</t>
  </si>
  <si>
    <t>AST1475</t>
  </si>
  <si>
    <t>Machine-475</t>
  </si>
  <si>
    <t>AST1476</t>
  </si>
  <si>
    <t>Machine-476</t>
  </si>
  <si>
    <t>AST1477</t>
  </si>
  <si>
    <t>Machine-477</t>
  </si>
  <si>
    <t>AST1478</t>
  </si>
  <si>
    <t>Machine-478</t>
  </si>
  <si>
    <t>AST1479</t>
  </si>
  <si>
    <t>Machine-479</t>
  </si>
  <si>
    <t>AST1480</t>
  </si>
  <si>
    <t>Machine-480</t>
  </si>
  <si>
    <t>AST1481</t>
  </si>
  <si>
    <t>Machine-481</t>
  </si>
  <si>
    <t>AST1482</t>
  </si>
  <si>
    <t>Machine-482</t>
  </si>
  <si>
    <t>AST1483</t>
  </si>
  <si>
    <t>Machine-483</t>
  </si>
  <si>
    <t>AST1484</t>
  </si>
  <si>
    <t>Machine-484</t>
  </si>
  <si>
    <t>AST1485</t>
  </si>
  <si>
    <t>Machine-485</t>
  </si>
  <si>
    <t>AST1486</t>
  </si>
  <si>
    <t>Machine-486</t>
  </si>
  <si>
    <t>AST1487</t>
  </si>
  <si>
    <t>Machine-487</t>
  </si>
  <si>
    <t>AST1488</t>
  </si>
  <si>
    <t>Machine-488</t>
  </si>
  <si>
    <t>AST1489</t>
  </si>
  <si>
    <t>Machine-489</t>
  </si>
  <si>
    <t>AST1490</t>
  </si>
  <si>
    <t>Machine-490</t>
  </si>
  <si>
    <t>AST1491</t>
  </si>
  <si>
    <t>Machine-491</t>
  </si>
  <si>
    <t>AST1492</t>
  </si>
  <si>
    <t>Machine-492</t>
  </si>
  <si>
    <t>AST1493</t>
  </si>
  <si>
    <t>Machine-493</t>
  </si>
  <si>
    <t>AST1494</t>
  </si>
  <si>
    <t>Machine-494</t>
  </si>
  <si>
    <t>AST1495</t>
  </si>
  <si>
    <t>Machine-495</t>
  </si>
  <si>
    <t>AST1496</t>
  </si>
  <si>
    <t>Machine-496</t>
  </si>
  <si>
    <t>2026-06-01</t>
  </si>
  <si>
    <t>AST1497</t>
  </si>
  <si>
    <t>Machine-497</t>
  </si>
  <si>
    <t>AST1498</t>
  </si>
  <si>
    <t>Machine-498</t>
  </si>
  <si>
    <t>AST1499</t>
  </si>
  <si>
    <t>Machine-499</t>
  </si>
  <si>
    <t>AST1500</t>
  </si>
  <si>
    <t>Machine-500</t>
  </si>
  <si>
    <t>AST1501</t>
  </si>
  <si>
    <t>Machine-501</t>
  </si>
  <si>
    <t>AST1502</t>
  </si>
  <si>
    <t>Machine-502</t>
  </si>
  <si>
    <t>AST1503</t>
  </si>
  <si>
    <t>Machine-503</t>
  </si>
  <si>
    <t>AST1504</t>
  </si>
  <si>
    <t>Machine-504</t>
  </si>
  <si>
    <t>2026-05-05</t>
  </si>
  <si>
    <t>AST1505</t>
  </si>
  <si>
    <t>Machine-505</t>
  </si>
  <si>
    <t>2026-02-18</t>
  </si>
  <si>
    <t>AST1506</t>
  </si>
  <si>
    <t>Machine-506</t>
  </si>
  <si>
    <t>2026-02-22</t>
  </si>
  <si>
    <t>AST1507</t>
  </si>
  <si>
    <t>Machine-507</t>
  </si>
  <si>
    <t>AST1508</t>
  </si>
  <si>
    <t>Machine-508</t>
  </si>
  <si>
    <t>2026-06-28</t>
  </si>
  <si>
    <t>AST1509</t>
  </si>
  <si>
    <t>Machine-509</t>
  </si>
  <si>
    <t>AST1510</t>
  </si>
  <si>
    <t>Machine-510</t>
  </si>
  <si>
    <t>AST1511</t>
  </si>
  <si>
    <t>Machine-511</t>
  </si>
  <si>
    <t>AST1512</t>
  </si>
  <si>
    <t>Machine-512</t>
  </si>
  <si>
    <t>AST1513</t>
  </si>
  <si>
    <t>Machine-513</t>
  </si>
  <si>
    <t>AST1514</t>
  </si>
  <si>
    <t>Machine-514</t>
  </si>
  <si>
    <t>2026-06-14</t>
  </si>
  <si>
    <t>AST1515</t>
  </si>
  <si>
    <t>Machine-515</t>
  </si>
  <si>
    <t>AST1516</t>
  </si>
  <si>
    <t>Machine-516</t>
  </si>
  <si>
    <t>AST1517</t>
  </si>
  <si>
    <t>Machine-517</t>
  </si>
  <si>
    <t>AST1518</t>
  </si>
  <si>
    <t>Machine-518</t>
  </si>
  <si>
    <t>AST1519</t>
  </si>
  <si>
    <t>Machine-519</t>
  </si>
  <si>
    <t>AST1520</t>
  </si>
  <si>
    <t>Machine-520</t>
  </si>
  <si>
    <t>AST1521</t>
  </si>
  <si>
    <t>Machine-521</t>
  </si>
  <si>
    <t>AST1522</t>
  </si>
  <si>
    <t>Machine-522</t>
  </si>
  <si>
    <t>AST1523</t>
  </si>
  <si>
    <t>Machine-523</t>
  </si>
  <si>
    <t>AST1524</t>
  </si>
  <si>
    <t>Machine-524</t>
  </si>
  <si>
    <t>AST1525</t>
  </si>
  <si>
    <t>Machine-525</t>
  </si>
  <si>
    <t>AST1526</t>
  </si>
  <si>
    <t>Machine-526</t>
  </si>
  <si>
    <t>AST1527</t>
  </si>
  <si>
    <t>Machine-527</t>
  </si>
  <si>
    <t>AST1528</t>
  </si>
  <si>
    <t>Machine-528</t>
  </si>
  <si>
    <t>AST1529</t>
  </si>
  <si>
    <t>Machine-529</t>
  </si>
  <si>
    <t>AST1530</t>
  </si>
  <si>
    <t>Machine-530</t>
  </si>
  <si>
    <t>AST1531</t>
  </si>
  <si>
    <t>Machine-531</t>
  </si>
  <si>
    <t>AST1532</t>
  </si>
  <si>
    <t>Machine-532</t>
  </si>
  <si>
    <t>AST1533</t>
  </si>
  <si>
    <t>Machine-533</t>
  </si>
  <si>
    <t>AST1534</t>
  </si>
  <si>
    <t>Machine-534</t>
  </si>
  <si>
    <t>AST1535</t>
  </si>
  <si>
    <t>Machine-535</t>
  </si>
  <si>
    <t>AST1536</t>
  </si>
  <si>
    <t>Machine-536</t>
  </si>
  <si>
    <t>AST1537</t>
  </si>
  <si>
    <t>Machine-537</t>
  </si>
  <si>
    <t>AST1538</t>
  </si>
  <si>
    <t>Machine-538</t>
  </si>
  <si>
    <t>AST1539</t>
  </si>
  <si>
    <t>Machine-539</t>
  </si>
  <si>
    <t>AST1540</t>
  </si>
  <si>
    <t>Machine-540</t>
  </si>
  <si>
    <t>AST1541</t>
  </si>
  <si>
    <t>Machine-541</t>
  </si>
  <si>
    <t>AST1542</t>
  </si>
  <si>
    <t>Machine-542</t>
  </si>
  <si>
    <t>AST1543</t>
  </si>
  <si>
    <t>Machine-543</t>
  </si>
  <si>
    <t>AST1544</t>
  </si>
  <si>
    <t>Machine-544</t>
  </si>
  <si>
    <t>AST1545</t>
  </si>
  <si>
    <t>Machine-545</t>
  </si>
  <si>
    <t>AST1546</t>
  </si>
  <si>
    <t>Machine-546</t>
  </si>
  <si>
    <t>AST1547</t>
  </si>
  <si>
    <t>Machine-547</t>
  </si>
  <si>
    <t>AST1548</t>
  </si>
  <si>
    <t>Machine-548</t>
  </si>
  <si>
    <t>AST1549</t>
  </si>
  <si>
    <t>Machine-549</t>
  </si>
  <si>
    <t>AST1550</t>
  </si>
  <si>
    <t>Machine-550</t>
  </si>
  <si>
    <t>AST1551</t>
  </si>
  <si>
    <t>Machine-551</t>
  </si>
  <si>
    <t>AST1552</t>
  </si>
  <si>
    <t>Machine-552</t>
  </si>
  <si>
    <t>AST1553</t>
  </si>
  <si>
    <t>Machine-553</t>
  </si>
  <si>
    <t>AST1554</t>
  </si>
  <si>
    <t>Machine-554</t>
  </si>
  <si>
    <t>AST1555</t>
  </si>
  <si>
    <t>Machine-555</t>
  </si>
  <si>
    <t>2026-05-09</t>
  </si>
  <si>
    <t>AST1556</t>
  </si>
  <si>
    <t>Machine-556</t>
  </si>
  <si>
    <t>AST1557</t>
  </si>
  <si>
    <t>Machine-557</t>
  </si>
  <si>
    <t>AST1558</t>
  </si>
  <si>
    <t>Machine-558</t>
  </si>
  <si>
    <t>AST1559</t>
  </si>
  <si>
    <t>Machine-559</t>
  </si>
  <si>
    <t>AST1560</t>
  </si>
  <si>
    <t>Machine-560</t>
  </si>
  <si>
    <t>AST1561</t>
  </si>
  <si>
    <t>Machine-561</t>
  </si>
  <si>
    <t>AST1562</t>
  </si>
  <si>
    <t>Machine-562</t>
  </si>
  <si>
    <t>AST1563</t>
  </si>
  <si>
    <t>Machine-563</t>
  </si>
  <si>
    <t>AST1564</t>
  </si>
  <si>
    <t>Machine-564</t>
  </si>
  <si>
    <t>AST1565</t>
  </si>
  <si>
    <t>Machine-565</t>
  </si>
  <si>
    <t>2026-01-23</t>
  </si>
  <si>
    <t>AST1566</t>
  </si>
  <si>
    <t>Machine-566</t>
  </si>
  <si>
    <t>AST1567</t>
  </si>
  <si>
    <t>Machine-567</t>
  </si>
  <si>
    <t>AST1568</t>
  </si>
  <si>
    <t>Machine-568</t>
  </si>
  <si>
    <t>AST1569</t>
  </si>
  <si>
    <t>Machine-569</t>
  </si>
  <si>
    <t>AST1570</t>
  </si>
  <si>
    <t>Machine-570</t>
  </si>
  <si>
    <t>AST1571</t>
  </si>
  <si>
    <t>Machine-571</t>
  </si>
  <si>
    <t>AST1572</t>
  </si>
  <si>
    <t>Machine-572</t>
  </si>
  <si>
    <t>AST1573</t>
  </si>
  <si>
    <t>Machine-573</t>
  </si>
  <si>
    <t>2026-07-15</t>
  </si>
  <si>
    <t>AST1574</t>
  </si>
  <si>
    <t>Machine-574</t>
  </si>
  <si>
    <t>AST1575</t>
  </si>
  <si>
    <t>Machine-575</t>
  </si>
  <si>
    <t>AST1576</t>
  </si>
  <si>
    <t>Machine-576</t>
  </si>
  <si>
    <t>AST1577</t>
  </si>
  <si>
    <t>Machine-577</t>
  </si>
  <si>
    <t>AST1578</t>
  </si>
  <si>
    <t>Machine-578</t>
  </si>
  <si>
    <t>2026-06-17</t>
  </si>
  <si>
    <t>AST1579</t>
  </si>
  <si>
    <t>Machine-579</t>
  </si>
  <si>
    <t>AST1580</t>
  </si>
  <si>
    <t>Machine-580</t>
  </si>
  <si>
    <t>AST1581</t>
  </si>
  <si>
    <t>Machine-581</t>
  </si>
  <si>
    <t>AST1582</t>
  </si>
  <si>
    <t>Machine-582</t>
  </si>
  <si>
    <t>AST1583</t>
  </si>
  <si>
    <t>Machine-583</t>
  </si>
  <si>
    <t>AST1584</t>
  </si>
  <si>
    <t>Machine-584</t>
  </si>
  <si>
    <t>AST1585</t>
  </si>
  <si>
    <t>Machine-585</t>
  </si>
  <si>
    <t>2026-02-15</t>
  </si>
  <si>
    <t>AST1586</t>
  </si>
  <si>
    <t>Machine-586</t>
  </si>
  <si>
    <t>AST1587</t>
  </si>
  <si>
    <t>Machine-587</t>
  </si>
  <si>
    <t>AST1588</t>
  </si>
  <si>
    <t>Machine-588</t>
  </si>
  <si>
    <t>AST1589</t>
  </si>
  <si>
    <t>Machine-589</t>
  </si>
  <si>
    <t>AST1590</t>
  </si>
  <si>
    <t>Machine-590</t>
  </si>
  <si>
    <t>AST1591</t>
  </si>
  <si>
    <t>Machine-591</t>
  </si>
  <si>
    <t>AST1592</t>
  </si>
  <si>
    <t>Machine-592</t>
  </si>
  <si>
    <t>AST1593</t>
  </si>
  <si>
    <t>Machine-593</t>
  </si>
  <si>
    <t>AST1594</t>
  </si>
  <si>
    <t>Machine-594</t>
  </si>
  <si>
    <t>AST1595</t>
  </si>
  <si>
    <t>Machine-595</t>
  </si>
  <si>
    <t>AST1596</t>
  </si>
  <si>
    <t>Machine-596</t>
  </si>
  <si>
    <t>AST1597</t>
  </si>
  <si>
    <t>Machine-597</t>
  </si>
  <si>
    <t>AST1598</t>
  </si>
  <si>
    <t>Machine-598</t>
  </si>
  <si>
    <t>2026-01-13</t>
  </si>
  <si>
    <t>AST1599</t>
  </si>
  <si>
    <t>Machine-599</t>
  </si>
  <si>
    <t>AST1600</t>
  </si>
  <si>
    <t>Machine-600</t>
  </si>
  <si>
    <t>AST1601</t>
  </si>
  <si>
    <t>Machine-601</t>
  </si>
  <si>
    <t>AST1602</t>
  </si>
  <si>
    <t>Machine-602</t>
  </si>
  <si>
    <t>AST1603</t>
  </si>
  <si>
    <t>Machine-603</t>
  </si>
  <si>
    <t>AST1604</t>
  </si>
  <si>
    <t>Machine-604</t>
  </si>
  <si>
    <t>AST1605</t>
  </si>
  <si>
    <t>Machine-605</t>
  </si>
  <si>
    <t>AST1606</t>
  </si>
  <si>
    <t>Machine-606</t>
  </si>
  <si>
    <t>2026-03-29</t>
  </si>
  <si>
    <t>AST1607</t>
  </si>
  <si>
    <t>Machine-607</t>
  </si>
  <si>
    <t>AST1608</t>
  </si>
  <si>
    <t>Machine-608</t>
  </si>
  <si>
    <t>AST1609</t>
  </si>
  <si>
    <t>Machine-609</t>
  </si>
  <si>
    <t>AST1610</t>
  </si>
  <si>
    <t>Machine-610</t>
  </si>
  <si>
    <t>AST1611</t>
  </si>
  <si>
    <t>Machine-611</t>
  </si>
  <si>
    <t>AST1612</t>
  </si>
  <si>
    <t>Machine-612</t>
  </si>
  <si>
    <t>AST1613</t>
  </si>
  <si>
    <t>Machine-613</t>
  </si>
  <si>
    <t>AST1614</t>
  </si>
  <si>
    <t>Machine-614</t>
  </si>
  <si>
    <t>AST1615</t>
  </si>
  <si>
    <t>Machine-615</t>
  </si>
  <si>
    <t>AST1616</t>
  </si>
  <si>
    <t>Machine-616</t>
  </si>
  <si>
    <t>AST1617</t>
  </si>
  <si>
    <t>Machine-617</t>
  </si>
  <si>
    <t>AST1618</t>
  </si>
  <si>
    <t>Machine-618</t>
  </si>
  <si>
    <t>AST1619</t>
  </si>
  <si>
    <t>Machine-619</t>
  </si>
  <si>
    <t>AST1620</t>
  </si>
  <si>
    <t>Machine-620</t>
  </si>
  <si>
    <t>AST1621</t>
  </si>
  <si>
    <t>Machine-621</t>
  </si>
  <si>
    <t>2026-01-15</t>
  </si>
  <si>
    <t>AST1622</t>
  </si>
  <si>
    <t>Machine-622</t>
  </si>
  <si>
    <t>AST1623</t>
  </si>
  <si>
    <t>Machine-623</t>
  </si>
  <si>
    <t>AST1624</t>
  </si>
  <si>
    <t>Machine-624</t>
  </si>
  <si>
    <t>AST1625</t>
  </si>
  <si>
    <t>Machine-625</t>
  </si>
  <si>
    <t>AST1626</t>
  </si>
  <si>
    <t>Machine-626</t>
  </si>
  <si>
    <t>AST1627</t>
  </si>
  <si>
    <t>Machine-627</t>
  </si>
  <si>
    <t>AST1628</t>
  </si>
  <si>
    <t>Machine-628</t>
  </si>
  <si>
    <t>AST1629</t>
  </si>
  <si>
    <t>Machine-629</t>
  </si>
  <si>
    <t>AST1630</t>
  </si>
  <si>
    <t>Machine-630</t>
  </si>
  <si>
    <t>AST1631</t>
  </si>
  <si>
    <t>Machine-631</t>
  </si>
  <si>
    <t>AST1632</t>
  </si>
  <si>
    <t>Machine-632</t>
  </si>
  <si>
    <t>AST1633</t>
  </si>
  <si>
    <t>Machine-633</t>
  </si>
  <si>
    <t>AST1634</t>
  </si>
  <si>
    <t>Machine-634</t>
  </si>
  <si>
    <t>AST1635</t>
  </si>
  <si>
    <t>Machine-635</t>
  </si>
  <si>
    <t>AST1636</t>
  </si>
  <si>
    <t>Machine-636</t>
  </si>
  <si>
    <t>AST1637</t>
  </si>
  <si>
    <t>Machine-637</t>
  </si>
  <si>
    <t>AST1638</t>
  </si>
  <si>
    <t>Machine-638</t>
  </si>
  <si>
    <t>AST1639</t>
  </si>
  <si>
    <t>Machine-639</t>
  </si>
  <si>
    <t>AST1640</t>
  </si>
  <si>
    <t>Machine-640</t>
  </si>
  <si>
    <t>AST1641</t>
  </si>
  <si>
    <t>Machine-641</t>
  </si>
  <si>
    <t>AST1642</t>
  </si>
  <si>
    <t>Machine-642</t>
  </si>
  <si>
    <t>AST1643</t>
  </si>
  <si>
    <t>Machine-643</t>
  </si>
  <si>
    <t>AST1644</t>
  </si>
  <si>
    <t>Machine-644</t>
  </si>
  <si>
    <t>AST1645</t>
  </si>
  <si>
    <t>Machine-645</t>
  </si>
  <si>
    <t>AST1646</t>
  </si>
  <si>
    <t>Machine-646</t>
  </si>
  <si>
    <t>AST1647</t>
  </si>
  <si>
    <t>Machine-647</t>
  </si>
  <si>
    <t>AST1648</t>
  </si>
  <si>
    <t>Machine-648</t>
  </si>
  <si>
    <t>AST1649</t>
  </si>
  <si>
    <t>Machine-649</t>
  </si>
  <si>
    <t>AST1650</t>
  </si>
  <si>
    <t>Machine-650</t>
  </si>
  <si>
    <t>AST1651</t>
  </si>
  <si>
    <t>Machine-651</t>
  </si>
  <si>
    <t>AST1652</t>
  </si>
  <si>
    <t>Machine-652</t>
  </si>
  <si>
    <t>AST1653</t>
  </si>
  <si>
    <t>Machine-653</t>
  </si>
  <si>
    <t>AST1654</t>
  </si>
  <si>
    <t>Machine-654</t>
  </si>
  <si>
    <t>AST1655</t>
  </si>
  <si>
    <t>Machine-655</t>
  </si>
  <si>
    <t>2026-03-07</t>
  </si>
  <si>
    <t>AST1656</t>
  </si>
  <si>
    <t>Machine-656</t>
  </si>
  <si>
    <t>AST1657</t>
  </si>
  <si>
    <t>Machine-657</t>
  </si>
  <si>
    <t>AST1658</t>
  </si>
  <si>
    <t>Machine-658</t>
  </si>
  <si>
    <t>AST1659</t>
  </si>
  <si>
    <t>Machine-659</t>
  </si>
  <si>
    <t>AST1660</t>
  </si>
  <si>
    <t>Machine-660</t>
  </si>
  <si>
    <t>AST1661</t>
  </si>
  <si>
    <t>Machine-661</t>
  </si>
  <si>
    <t>AST1662</t>
  </si>
  <si>
    <t>Machine-662</t>
  </si>
  <si>
    <t>AST1663</t>
  </si>
  <si>
    <t>Machine-663</t>
  </si>
  <si>
    <t>AST1664</t>
  </si>
  <si>
    <t>Machine-664</t>
  </si>
  <si>
    <t>AST1665</t>
  </si>
  <si>
    <t>Machine-665</t>
  </si>
  <si>
    <t>AST1666</t>
  </si>
  <si>
    <t>Machine-666</t>
  </si>
  <si>
    <t>AST1667</t>
  </si>
  <si>
    <t>Machine-667</t>
  </si>
  <si>
    <t>AST1668</t>
  </si>
  <si>
    <t>Machine-668</t>
  </si>
  <si>
    <t>AST1669</t>
  </si>
  <si>
    <t>Machine-669</t>
  </si>
  <si>
    <t>AST1670</t>
  </si>
  <si>
    <t>Machine-670</t>
  </si>
  <si>
    <t>AST1671</t>
  </si>
  <si>
    <t>Machine-671</t>
  </si>
  <si>
    <t>AST1672</t>
  </si>
  <si>
    <t>Machine-672</t>
  </si>
  <si>
    <t>AST1673</t>
  </si>
  <si>
    <t>Machine-673</t>
  </si>
  <si>
    <t>AST1674</t>
  </si>
  <si>
    <t>Machine-674</t>
  </si>
  <si>
    <t>AST1675</t>
  </si>
  <si>
    <t>Machine-675</t>
  </si>
  <si>
    <t>AST1676</t>
  </si>
  <si>
    <t>Machine-676</t>
  </si>
  <si>
    <t>AST1677</t>
  </si>
  <si>
    <t>Machine-677</t>
  </si>
  <si>
    <t>AST1678</t>
  </si>
  <si>
    <t>Machine-678</t>
  </si>
  <si>
    <t>AST1679</t>
  </si>
  <si>
    <t>Machine-679</t>
  </si>
  <si>
    <t>AST1680</t>
  </si>
  <si>
    <t>Machine-680</t>
  </si>
  <si>
    <t>AST1681</t>
  </si>
  <si>
    <t>Machine-681</t>
  </si>
  <si>
    <t>AST1682</t>
  </si>
  <si>
    <t>Machine-682</t>
  </si>
  <si>
    <t>AST1683</t>
  </si>
  <si>
    <t>Machine-683</t>
  </si>
  <si>
    <t>AST1684</t>
  </si>
  <si>
    <t>Machine-684</t>
  </si>
  <si>
    <t>AST1685</t>
  </si>
  <si>
    <t>Machine-685</t>
  </si>
  <si>
    <t>AST1686</t>
  </si>
  <si>
    <t>Machine-686</t>
  </si>
  <si>
    <t>AST1687</t>
  </si>
  <si>
    <t>Machine-687</t>
  </si>
  <si>
    <t>AST1688</t>
  </si>
  <si>
    <t>Machine-688</t>
  </si>
  <si>
    <t>AST1689</t>
  </si>
  <si>
    <t>Machine-689</t>
  </si>
  <si>
    <t>AST1690</t>
  </si>
  <si>
    <t>Machine-690</t>
  </si>
  <si>
    <t>AST1691</t>
  </si>
  <si>
    <t>Machine-691</t>
  </si>
  <si>
    <t>AST1692</t>
  </si>
  <si>
    <t>Machine-692</t>
  </si>
  <si>
    <t>AST1693</t>
  </si>
  <si>
    <t>Machine-693</t>
  </si>
  <si>
    <t>AST1694</t>
  </si>
  <si>
    <t>Machine-694</t>
  </si>
  <si>
    <t>AST1695</t>
  </si>
  <si>
    <t>Machine-695</t>
  </si>
  <si>
    <t>AST1696</t>
  </si>
  <si>
    <t>Machine-696</t>
  </si>
  <si>
    <t>AST1697</t>
  </si>
  <si>
    <t>Machine-697</t>
  </si>
  <si>
    <t>AST1698</t>
  </si>
  <si>
    <t>Machine-698</t>
  </si>
  <si>
    <t>AST1699</t>
  </si>
  <si>
    <t>Machine-699</t>
  </si>
  <si>
    <t>AST1700</t>
  </si>
  <si>
    <t>Machine-700</t>
  </si>
  <si>
    <t>AST1701</t>
  </si>
  <si>
    <t>Machine-701</t>
  </si>
  <si>
    <t>AST1702</t>
  </si>
  <si>
    <t>Machine-702</t>
  </si>
  <si>
    <t>AST1703</t>
  </si>
  <si>
    <t>Machine-703</t>
  </si>
  <si>
    <t>AST1704</t>
  </si>
  <si>
    <t>Machine-704</t>
  </si>
  <si>
    <t>AST1705</t>
  </si>
  <si>
    <t>Machine-705</t>
  </si>
  <si>
    <t>AST1706</t>
  </si>
  <si>
    <t>Machine-706</t>
  </si>
  <si>
    <t>AST1707</t>
  </si>
  <si>
    <t>Machine-707</t>
  </si>
  <si>
    <t>AST1708</t>
  </si>
  <si>
    <t>Machine-708</t>
  </si>
  <si>
    <t>AST1709</t>
  </si>
  <si>
    <t>Machine-709</t>
  </si>
  <si>
    <t>AST1710</t>
  </si>
  <si>
    <t>Machine-710</t>
  </si>
  <si>
    <t>AST1711</t>
  </si>
  <si>
    <t>Machine-711</t>
  </si>
  <si>
    <t>AST1712</t>
  </si>
  <si>
    <t>Machine-712</t>
  </si>
  <si>
    <t>AST1713</t>
  </si>
  <si>
    <t>Machine-713</t>
  </si>
  <si>
    <t>AST1714</t>
  </si>
  <si>
    <t>Machine-714</t>
  </si>
  <si>
    <t>AST1715</t>
  </si>
  <si>
    <t>Machine-715</t>
  </si>
  <si>
    <t>AST1716</t>
  </si>
  <si>
    <t>Machine-716</t>
  </si>
  <si>
    <t>AST1717</t>
  </si>
  <si>
    <t>Machine-717</t>
  </si>
  <si>
    <t>2026-04-07</t>
  </si>
  <si>
    <t>AST1718</t>
  </si>
  <si>
    <t>Machine-718</t>
  </si>
  <si>
    <t>AST1719</t>
  </si>
  <si>
    <t>Machine-719</t>
  </si>
  <si>
    <t>AST1720</t>
  </si>
  <si>
    <t>Machine-720</t>
  </si>
  <si>
    <t>AST1721</t>
  </si>
  <si>
    <t>Machine-721</t>
  </si>
  <si>
    <t>AST1722</t>
  </si>
  <si>
    <t>Machine-722</t>
  </si>
  <si>
    <t>AST1723</t>
  </si>
  <si>
    <t>Machine-723</t>
  </si>
  <si>
    <t>AST1724</t>
  </si>
  <si>
    <t>Machine-724</t>
  </si>
  <si>
    <t>2026-01-01</t>
  </si>
  <si>
    <t>AST1725</t>
  </si>
  <si>
    <t>Machine-725</t>
  </si>
  <si>
    <t>AST1726</t>
  </si>
  <si>
    <t>Machine-726</t>
  </si>
  <si>
    <t>AST1727</t>
  </si>
  <si>
    <t>Machine-727</t>
  </si>
  <si>
    <t>AST1728</t>
  </si>
  <si>
    <t>Machine-728</t>
  </si>
  <si>
    <t>AST1729</t>
  </si>
  <si>
    <t>Machine-729</t>
  </si>
  <si>
    <t>AST1730</t>
  </si>
  <si>
    <t>Machine-730</t>
  </si>
  <si>
    <t>AST1731</t>
  </si>
  <si>
    <t>Machine-731</t>
  </si>
  <si>
    <t>AST1732</t>
  </si>
  <si>
    <t>Machine-732</t>
  </si>
  <si>
    <t>AST1733</t>
  </si>
  <si>
    <t>Machine-733</t>
  </si>
  <si>
    <t>AST1734</t>
  </si>
  <si>
    <t>Machine-734</t>
  </si>
  <si>
    <t>AST1735</t>
  </si>
  <si>
    <t>Machine-735</t>
  </si>
  <si>
    <t>AST1736</t>
  </si>
  <si>
    <t>Machine-736</t>
  </si>
  <si>
    <t>AST1737</t>
  </si>
  <si>
    <t>Machine-737</t>
  </si>
  <si>
    <t>AST1738</t>
  </si>
  <si>
    <t>Machine-738</t>
  </si>
  <si>
    <t>AST1739</t>
  </si>
  <si>
    <t>Machine-739</t>
  </si>
  <si>
    <t>AST1740</t>
  </si>
  <si>
    <t>Machine-740</t>
  </si>
  <si>
    <t>AST1741</t>
  </si>
  <si>
    <t>Machine-741</t>
  </si>
  <si>
    <t>AST1742</t>
  </si>
  <si>
    <t>Machine-742</t>
  </si>
  <si>
    <t>AST1743</t>
  </si>
  <si>
    <t>Machine-743</t>
  </si>
  <si>
    <t>AST1744</t>
  </si>
  <si>
    <t>Machine-744</t>
  </si>
  <si>
    <t>AST1745</t>
  </si>
  <si>
    <t>Machine-745</t>
  </si>
  <si>
    <t>AST1746</t>
  </si>
  <si>
    <t>Machine-746</t>
  </si>
  <si>
    <t>AST1747</t>
  </si>
  <si>
    <t>Machine-747</t>
  </si>
  <si>
    <t>AST1748</t>
  </si>
  <si>
    <t>Machine-748</t>
  </si>
  <si>
    <t>AST1749</t>
  </si>
  <si>
    <t>Machine-749</t>
  </si>
  <si>
    <t>AST1750</t>
  </si>
  <si>
    <t>Machine-750</t>
  </si>
  <si>
    <t>AST1751</t>
  </si>
  <si>
    <t>Machine-751</t>
  </si>
  <si>
    <t>AST1752</t>
  </si>
  <si>
    <t>Machine-752</t>
  </si>
  <si>
    <t>AST1753</t>
  </si>
  <si>
    <t>Machine-753</t>
  </si>
  <si>
    <t>AST1754</t>
  </si>
  <si>
    <t>Machine-754</t>
  </si>
  <si>
    <t>AST1755</t>
  </si>
  <si>
    <t>Machine-755</t>
  </si>
  <si>
    <t>AST1756</t>
  </si>
  <si>
    <t>Machine-756</t>
  </si>
  <si>
    <t>AST1757</t>
  </si>
  <si>
    <t>Machine-757</t>
  </si>
  <si>
    <t>AST1758</t>
  </si>
  <si>
    <t>Machine-758</t>
  </si>
  <si>
    <t>AST1759</t>
  </si>
  <si>
    <t>Machine-759</t>
  </si>
  <si>
    <t>AST1760</t>
  </si>
  <si>
    <t>Machine-760</t>
  </si>
  <si>
    <t>AST1761</t>
  </si>
  <si>
    <t>Machine-761</t>
  </si>
  <si>
    <t>AST1762</t>
  </si>
  <si>
    <t>Machine-762</t>
  </si>
  <si>
    <t>AST1763</t>
  </si>
  <si>
    <t>Machine-763</t>
  </si>
  <si>
    <t>AST1764</t>
  </si>
  <si>
    <t>Machine-764</t>
  </si>
  <si>
    <t>AST1765</t>
  </si>
  <si>
    <t>Machine-765</t>
  </si>
  <si>
    <t>AST1766</t>
  </si>
  <si>
    <t>Machine-766</t>
  </si>
  <si>
    <t>AST1767</t>
  </si>
  <si>
    <t>Machine-767</t>
  </si>
  <si>
    <t>AST1768</t>
  </si>
  <si>
    <t>Machine-768</t>
  </si>
  <si>
    <t>AST1769</t>
  </si>
  <si>
    <t>Machine-769</t>
  </si>
  <si>
    <t>AST1770</t>
  </si>
  <si>
    <t>Machine-770</t>
  </si>
  <si>
    <t>AST1771</t>
  </si>
  <si>
    <t>Machine-771</t>
  </si>
  <si>
    <t>AST1772</t>
  </si>
  <si>
    <t>Machine-772</t>
  </si>
  <si>
    <t>AST1773</t>
  </si>
  <si>
    <t>Machine-773</t>
  </si>
  <si>
    <t>AST1774</t>
  </si>
  <si>
    <t>Machine-774</t>
  </si>
  <si>
    <t>AST1775</t>
  </si>
  <si>
    <t>Machine-775</t>
  </si>
  <si>
    <t>AST1776</t>
  </si>
  <si>
    <t>Machine-776</t>
  </si>
  <si>
    <t>AST1777</t>
  </si>
  <si>
    <t>Machine-777</t>
  </si>
  <si>
    <t>AST1778</t>
  </si>
  <si>
    <t>Machine-778</t>
  </si>
  <si>
    <t>AST1779</t>
  </si>
  <si>
    <t>Machine-779</t>
  </si>
  <si>
    <t>AST1780</t>
  </si>
  <si>
    <t>Machine-780</t>
  </si>
  <si>
    <t>AST1781</t>
  </si>
  <si>
    <t>Machine-781</t>
  </si>
  <si>
    <t>AST1782</t>
  </si>
  <si>
    <t>Machine-782</t>
  </si>
  <si>
    <t>2026-03-10</t>
  </si>
  <si>
    <t>AST1783</t>
  </si>
  <si>
    <t>Machine-783</t>
  </si>
  <si>
    <t>AST1784</t>
  </si>
  <si>
    <t>Machine-784</t>
  </si>
  <si>
    <t>AST1785</t>
  </si>
  <si>
    <t>Machine-785</t>
  </si>
  <si>
    <t>AST1786</t>
  </si>
  <si>
    <t>Machine-786</t>
  </si>
  <si>
    <t>AST1787</t>
  </si>
  <si>
    <t>Machine-787</t>
  </si>
  <si>
    <t>AST1788</t>
  </si>
  <si>
    <t>Machine-788</t>
  </si>
  <si>
    <t>AST1789</t>
  </si>
  <si>
    <t>Machine-789</t>
  </si>
  <si>
    <t>AST1790</t>
  </si>
  <si>
    <t>Machine-790</t>
  </si>
  <si>
    <t>AST1791</t>
  </si>
  <si>
    <t>Machine-791</t>
  </si>
  <si>
    <t>AST1792</t>
  </si>
  <si>
    <t>Machine-792</t>
  </si>
  <si>
    <t>AST1793</t>
  </si>
  <si>
    <t>Machine-793</t>
  </si>
  <si>
    <t>AST1794</t>
  </si>
  <si>
    <t>Machine-794</t>
  </si>
  <si>
    <t>AST1795</t>
  </si>
  <si>
    <t>Machine-795</t>
  </si>
  <si>
    <t>AST1796</t>
  </si>
  <si>
    <t>Machine-796</t>
  </si>
  <si>
    <t>AST1797</t>
  </si>
  <si>
    <t>Machine-797</t>
  </si>
  <si>
    <t>AST1798</t>
  </si>
  <si>
    <t>Machine-798</t>
  </si>
  <si>
    <t>AST1799</t>
  </si>
  <si>
    <t>Machine-799</t>
  </si>
  <si>
    <t>AST1800</t>
  </si>
  <si>
    <t>Machine-800</t>
  </si>
  <si>
    <t>AST1801</t>
  </si>
  <si>
    <t>Machine-801</t>
  </si>
  <si>
    <t>AST1802</t>
  </si>
  <si>
    <t>Machine-802</t>
  </si>
  <si>
    <t>AST1803</t>
  </si>
  <si>
    <t>Machine-803</t>
  </si>
  <si>
    <t>AST1804</t>
  </si>
  <si>
    <t>Machine-804</t>
  </si>
  <si>
    <t>AST1805</t>
  </si>
  <si>
    <t>Machine-805</t>
  </si>
  <si>
    <t>AST1806</t>
  </si>
  <si>
    <t>Machine-806</t>
  </si>
  <si>
    <t>AST1807</t>
  </si>
  <si>
    <t>Machine-807</t>
  </si>
  <si>
    <t>AST1808</t>
  </si>
  <si>
    <t>Machine-808</t>
  </si>
  <si>
    <t>AST1809</t>
  </si>
  <si>
    <t>Machine-809</t>
  </si>
  <si>
    <t>AST1810</t>
  </si>
  <si>
    <t>Machine-810</t>
  </si>
  <si>
    <t>AST1811</t>
  </si>
  <si>
    <t>Machine-811</t>
  </si>
  <si>
    <t>AST1812</t>
  </si>
  <si>
    <t>Machine-812</t>
  </si>
  <si>
    <t>AST1813</t>
  </si>
  <si>
    <t>Machine-813</t>
  </si>
  <si>
    <t>AST1814</t>
  </si>
  <si>
    <t>Machine-814</t>
  </si>
  <si>
    <t>AST1815</t>
  </si>
  <si>
    <t>Machine-815</t>
  </si>
  <si>
    <t>AST1816</t>
  </si>
  <si>
    <t>Machine-816</t>
  </si>
  <si>
    <t>AST1817</t>
  </si>
  <si>
    <t>Machine-817</t>
  </si>
  <si>
    <t>AST1818</t>
  </si>
  <si>
    <t>Machine-818</t>
  </si>
  <si>
    <t>AST1819</t>
  </si>
  <si>
    <t>Machine-819</t>
  </si>
  <si>
    <t>AST1820</t>
  </si>
  <si>
    <t>Machine-820</t>
  </si>
  <si>
    <t>AST1821</t>
  </si>
  <si>
    <t>Machine-821</t>
  </si>
  <si>
    <t>AST1822</t>
  </si>
  <si>
    <t>Machine-822</t>
  </si>
  <si>
    <t>AST1823</t>
  </si>
  <si>
    <t>Machine-823</t>
  </si>
  <si>
    <t>AST1824</t>
  </si>
  <si>
    <t>Machine-824</t>
  </si>
  <si>
    <t>AST1825</t>
  </si>
  <si>
    <t>Machine-825</t>
  </si>
  <si>
    <t>AST1826</t>
  </si>
  <si>
    <t>Machine-826</t>
  </si>
  <si>
    <t>AST1827</t>
  </si>
  <si>
    <t>Machine-827</t>
  </si>
  <si>
    <t>AST1828</t>
  </si>
  <si>
    <t>Machine-828</t>
  </si>
  <si>
    <t>AST1829</t>
  </si>
  <si>
    <t>Machine-829</t>
  </si>
  <si>
    <t>AST1830</t>
  </si>
  <si>
    <t>Machine-830</t>
  </si>
  <si>
    <t>AST1831</t>
  </si>
  <si>
    <t>Machine-831</t>
  </si>
  <si>
    <t>AST1832</t>
  </si>
  <si>
    <t>Machine-832</t>
  </si>
  <si>
    <t>AST1833</t>
  </si>
  <si>
    <t>Machine-833</t>
  </si>
  <si>
    <t>AST1834</t>
  </si>
  <si>
    <t>Machine-834</t>
  </si>
  <si>
    <t>AST1835</t>
  </si>
  <si>
    <t>Machine-835</t>
  </si>
  <si>
    <t>AST1836</t>
  </si>
  <si>
    <t>Machine-836</t>
  </si>
  <si>
    <t>AST1837</t>
  </si>
  <si>
    <t>Machine-837</t>
  </si>
  <si>
    <t>AST1838</t>
  </si>
  <si>
    <t>Machine-838</t>
  </si>
  <si>
    <t>AST1839</t>
  </si>
  <si>
    <t>Machine-839</t>
  </si>
  <si>
    <t>AST1840</t>
  </si>
  <si>
    <t>Machine-840</t>
  </si>
  <si>
    <t>AST1841</t>
  </si>
  <si>
    <t>Machine-841</t>
  </si>
  <si>
    <t>AST1842</t>
  </si>
  <si>
    <t>Machine-842</t>
  </si>
  <si>
    <t>AST1843</t>
  </si>
  <si>
    <t>Machine-843</t>
  </si>
  <si>
    <t>AST1844</t>
  </si>
  <si>
    <t>Machine-844</t>
  </si>
  <si>
    <t>AST1845</t>
  </si>
  <si>
    <t>Machine-845</t>
  </si>
  <si>
    <t>AST1846</t>
  </si>
  <si>
    <t>Machine-846</t>
  </si>
  <si>
    <t>AST1847</t>
  </si>
  <si>
    <t>Machine-847</t>
  </si>
  <si>
    <t>2026-07-21</t>
  </si>
  <si>
    <t>AST1848</t>
  </si>
  <si>
    <t>Machine-848</t>
  </si>
  <si>
    <t>AST1849</t>
  </si>
  <si>
    <t>Machine-849</t>
  </si>
  <si>
    <t>AST1850</t>
  </si>
  <si>
    <t>Machine-850</t>
  </si>
  <si>
    <t>AST1851</t>
  </si>
  <si>
    <t>Machine-851</t>
  </si>
  <si>
    <t>AST1852</t>
  </si>
  <si>
    <t>Machine-852</t>
  </si>
  <si>
    <t>AST1853</t>
  </si>
  <si>
    <t>Machine-853</t>
  </si>
  <si>
    <t>AST1854</t>
  </si>
  <si>
    <t>Machine-854</t>
  </si>
  <si>
    <t>AST1855</t>
  </si>
  <si>
    <t>Machine-855</t>
  </si>
  <si>
    <t>AST1856</t>
  </si>
  <si>
    <t>Machine-856</t>
  </si>
  <si>
    <t>AST1857</t>
  </si>
  <si>
    <t>Machine-857</t>
  </si>
  <si>
    <t>AST1858</t>
  </si>
  <si>
    <t>Machine-858</t>
  </si>
  <si>
    <t>AST1859</t>
  </si>
  <si>
    <t>Machine-859</t>
  </si>
  <si>
    <t>AST1860</t>
  </si>
  <si>
    <t>Machine-860</t>
  </si>
  <si>
    <t>AST1861</t>
  </si>
  <si>
    <t>Machine-861</t>
  </si>
  <si>
    <t>AST1862</t>
  </si>
  <si>
    <t>Machine-862</t>
  </si>
  <si>
    <t>AST1863</t>
  </si>
  <si>
    <t>Machine-863</t>
  </si>
  <si>
    <t>AST1864</t>
  </si>
  <si>
    <t>Machine-864</t>
  </si>
  <si>
    <t>AST1865</t>
  </si>
  <si>
    <t>Machine-865</t>
  </si>
  <si>
    <t>AST1866</t>
  </si>
  <si>
    <t>Machine-866</t>
  </si>
  <si>
    <t>AST1867</t>
  </si>
  <si>
    <t>Machine-867</t>
  </si>
  <si>
    <t>AST1868</t>
  </si>
  <si>
    <t>Machine-868</t>
  </si>
  <si>
    <t>AST1869</t>
  </si>
  <si>
    <t>Machine-869</t>
  </si>
  <si>
    <t>AST1870</t>
  </si>
  <si>
    <t>Machine-870</t>
  </si>
  <si>
    <t>AST1871</t>
  </si>
  <si>
    <t>Machine-871</t>
  </si>
  <si>
    <t>AST1872</t>
  </si>
  <si>
    <t>Machine-872</t>
  </si>
  <si>
    <t>AST1873</t>
  </si>
  <si>
    <t>Machine-873</t>
  </si>
  <si>
    <t>AST1874</t>
  </si>
  <si>
    <t>Machine-874</t>
  </si>
  <si>
    <t>AST1875</t>
  </si>
  <si>
    <t>Machine-875</t>
  </si>
  <si>
    <t>AST1876</t>
  </si>
  <si>
    <t>Machine-876</t>
  </si>
  <si>
    <t>AST1877</t>
  </si>
  <si>
    <t>Machine-877</t>
  </si>
  <si>
    <t>AST1878</t>
  </si>
  <si>
    <t>Machine-878</t>
  </si>
  <si>
    <t>AST1879</t>
  </si>
  <si>
    <t>Machine-879</t>
  </si>
  <si>
    <t>AST1880</t>
  </si>
  <si>
    <t>Machine-880</t>
  </si>
  <si>
    <t>AST1881</t>
  </si>
  <si>
    <t>Machine-881</t>
  </si>
  <si>
    <t>AST1882</t>
  </si>
  <si>
    <t>Machine-882</t>
  </si>
  <si>
    <t>AST1883</t>
  </si>
  <si>
    <t>Machine-883</t>
  </si>
  <si>
    <t>AST1884</t>
  </si>
  <si>
    <t>Machine-884</t>
  </si>
  <si>
    <t>AST1885</t>
  </si>
  <si>
    <t>Machine-885</t>
  </si>
  <si>
    <t>AST1886</t>
  </si>
  <si>
    <t>Machine-886</t>
  </si>
  <si>
    <t>AST1887</t>
  </si>
  <si>
    <t>Machine-887</t>
  </si>
  <si>
    <t>AST1888</t>
  </si>
  <si>
    <t>Machine-888</t>
  </si>
  <si>
    <t>AST1889</t>
  </si>
  <si>
    <t>Machine-889</t>
  </si>
  <si>
    <t>AST1890</t>
  </si>
  <si>
    <t>Machine-890</t>
  </si>
  <si>
    <t>AST1891</t>
  </si>
  <si>
    <t>Machine-891</t>
  </si>
  <si>
    <t>AST1892</t>
  </si>
  <si>
    <t>Machine-892</t>
  </si>
  <si>
    <t>AST1893</t>
  </si>
  <si>
    <t>Machine-893</t>
  </si>
  <si>
    <t>AST1894</t>
  </si>
  <si>
    <t>Machine-894</t>
  </si>
  <si>
    <t>AST1895</t>
  </si>
  <si>
    <t>Machine-895</t>
  </si>
  <si>
    <t>AST1896</t>
  </si>
  <si>
    <t>Machine-896</t>
  </si>
  <si>
    <t>AST1897</t>
  </si>
  <si>
    <t>Machine-897</t>
  </si>
  <si>
    <t>AST1898</t>
  </si>
  <si>
    <t>Machine-898</t>
  </si>
  <si>
    <t>AST1899</t>
  </si>
  <si>
    <t>Machine-899</t>
  </si>
  <si>
    <t>AST1900</t>
  </si>
  <si>
    <t>Machine-900</t>
  </si>
  <si>
    <t>AST1901</t>
  </si>
  <si>
    <t>Machine-901</t>
  </si>
  <si>
    <t>AST1902</t>
  </si>
  <si>
    <t>Machine-902</t>
  </si>
  <si>
    <t>AST1903</t>
  </si>
  <si>
    <t>Machine-903</t>
  </si>
  <si>
    <t>AST1904</t>
  </si>
  <si>
    <t>Machine-904</t>
  </si>
  <si>
    <t>AST1905</t>
  </si>
  <si>
    <t>Machine-905</t>
  </si>
  <si>
    <t>AST1906</t>
  </si>
  <si>
    <t>Machine-906</t>
  </si>
  <si>
    <t>AST1907</t>
  </si>
  <si>
    <t>Machine-907</t>
  </si>
  <si>
    <t>AST1908</t>
  </si>
  <si>
    <t>Machine-908</t>
  </si>
  <si>
    <t>AST1909</t>
  </si>
  <si>
    <t>Machine-909</t>
  </si>
  <si>
    <t>AST1910</t>
  </si>
  <si>
    <t>Machine-910</t>
  </si>
  <si>
    <t>AST1911</t>
  </si>
  <si>
    <t>Machine-911</t>
  </si>
  <si>
    <t>AST1912</t>
  </si>
  <si>
    <t>Machine-912</t>
  </si>
  <si>
    <t>AST1913</t>
  </si>
  <si>
    <t>Machine-913</t>
  </si>
  <si>
    <t>AST1914</t>
  </si>
  <si>
    <t>Machine-914</t>
  </si>
  <si>
    <t>AST1915</t>
  </si>
  <si>
    <t>Machine-915</t>
  </si>
  <si>
    <t>AST1916</t>
  </si>
  <si>
    <t>Machine-916</t>
  </si>
  <si>
    <t>AST1917</t>
  </si>
  <si>
    <t>Machine-917</t>
  </si>
  <si>
    <t>AST1918</t>
  </si>
  <si>
    <t>Machine-918</t>
  </si>
  <si>
    <t>AST1919</t>
  </si>
  <si>
    <t>Machine-919</t>
  </si>
  <si>
    <t>AST1920</t>
  </si>
  <si>
    <t>Machine-920</t>
  </si>
  <si>
    <t>AST1921</t>
  </si>
  <si>
    <t>Machine-921</t>
  </si>
  <si>
    <t>AST1922</t>
  </si>
  <si>
    <t>Machine-922</t>
  </si>
  <si>
    <t>AST1923</t>
  </si>
  <si>
    <t>Machine-923</t>
  </si>
  <si>
    <t>AST1924</t>
  </si>
  <si>
    <t>Machine-924</t>
  </si>
  <si>
    <t>AST1925</t>
  </si>
  <si>
    <t>Machine-925</t>
  </si>
  <si>
    <t>AST1926</t>
  </si>
  <si>
    <t>Machine-926</t>
  </si>
  <si>
    <t>AST1927</t>
  </si>
  <si>
    <t>Machine-927</t>
  </si>
  <si>
    <t>AST1928</t>
  </si>
  <si>
    <t>Machine-928</t>
  </si>
  <si>
    <t>AST1929</t>
  </si>
  <si>
    <t>Machine-929</t>
  </si>
  <si>
    <t>AST1930</t>
  </si>
  <si>
    <t>Machine-930</t>
  </si>
  <si>
    <t>AST1931</t>
  </si>
  <si>
    <t>Machine-931</t>
  </si>
  <si>
    <t>AST1932</t>
  </si>
  <si>
    <t>Machine-932</t>
  </si>
  <si>
    <t>AST1933</t>
  </si>
  <si>
    <t>Machine-933</t>
  </si>
  <si>
    <t>AST1934</t>
  </si>
  <si>
    <t>Machine-934</t>
  </si>
  <si>
    <t>AST1935</t>
  </si>
  <si>
    <t>Machine-935</t>
  </si>
  <si>
    <t>AST1936</t>
  </si>
  <si>
    <t>Machine-936</t>
  </si>
  <si>
    <t>AST1937</t>
  </si>
  <si>
    <t>Machine-937</t>
  </si>
  <si>
    <t>AST1938</t>
  </si>
  <si>
    <t>Machine-938</t>
  </si>
  <si>
    <t>AST1939</t>
  </si>
  <si>
    <t>Machine-939</t>
  </si>
  <si>
    <t>AST1940</t>
  </si>
  <si>
    <t>Machine-940</t>
  </si>
  <si>
    <t>AST1941</t>
  </si>
  <si>
    <t>Machine-941</t>
  </si>
  <si>
    <t>AST1942</t>
  </si>
  <si>
    <t>Machine-942</t>
  </si>
  <si>
    <t>AST1943</t>
  </si>
  <si>
    <t>Machine-943</t>
  </si>
  <si>
    <t>AST1944</t>
  </si>
  <si>
    <t>Machine-944</t>
  </si>
  <si>
    <t>AST1945</t>
  </si>
  <si>
    <t>Machine-945</t>
  </si>
  <si>
    <t>AST1946</t>
  </si>
  <si>
    <t>Machine-946</t>
  </si>
  <si>
    <t>AST1947</t>
  </si>
  <si>
    <t>Machine-947</t>
  </si>
  <si>
    <t>AST1948</t>
  </si>
  <si>
    <t>Machine-948</t>
  </si>
  <si>
    <t>AST1949</t>
  </si>
  <si>
    <t>Machine-949</t>
  </si>
  <si>
    <t>AST1950</t>
  </si>
  <si>
    <t>Machine-950</t>
  </si>
  <si>
    <t>AST1951</t>
  </si>
  <si>
    <t>Machine-951</t>
  </si>
  <si>
    <t>AST1952</t>
  </si>
  <si>
    <t>Machine-952</t>
  </si>
  <si>
    <t>AST1953</t>
  </si>
  <si>
    <t>Machine-953</t>
  </si>
  <si>
    <t>AST1954</t>
  </si>
  <si>
    <t>Machine-954</t>
  </si>
  <si>
    <t>AST1955</t>
  </si>
  <si>
    <t>Machine-955</t>
  </si>
  <si>
    <t>AST1956</t>
  </si>
  <si>
    <t>Machine-956</t>
  </si>
  <si>
    <t>AST1957</t>
  </si>
  <si>
    <t>Machine-957</t>
  </si>
  <si>
    <t>AST1958</t>
  </si>
  <si>
    <t>Machine-958</t>
  </si>
  <si>
    <t>AST1959</t>
  </si>
  <si>
    <t>Machine-959</t>
  </si>
  <si>
    <t>AST1960</t>
  </si>
  <si>
    <t>Machine-960</t>
  </si>
  <si>
    <t>AST1961</t>
  </si>
  <si>
    <t>Machine-961</t>
  </si>
  <si>
    <t>AST1962</t>
  </si>
  <si>
    <t>Machine-962</t>
  </si>
  <si>
    <t>AST1963</t>
  </si>
  <si>
    <t>Machine-963</t>
  </si>
  <si>
    <t>AST1964</t>
  </si>
  <si>
    <t>Machine-964</t>
  </si>
  <si>
    <t>AST1965</t>
  </si>
  <si>
    <t>Machine-965</t>
  </si>
  <si>
    <t>AST1966</t>
  </si>
  <si>
    <t>Machine-966</t>
  </si>
  <si>
    <t>AST1967</t>
  </si>
  <si>
    <t>Machine-967</t>
  </si>
  <si>
    <t>AST1968</t>
  </si>
  <si>
    <t>Machine-968</t>
  </si>
  <si>
    <t>AST1969</t>
  </si>
  <si>
    <t>Machine-969</t>
  </si>
  <si>
    <t>AST1970</t>
  </si>
  <si>
    <t>Machine-970</t>
  </si>
  <si>
    <t>AST1971</t>
  </si>
  <si>
    <t>Machine-971</t>
  </si>
  <si>
    <t>AST1972</t>
  </si>
  <si>
    <t>Machine-972</t>
  </si>
  <si>
    <t>AST1973</t>
  </si>
  <si>
    <t>Machine-973</t>
  </si>
  <si>
    <t>AST1974</t>
  </si>
  <si>
    <t>Machine-974</t>
  </si>
  <si>
    <t>AST1975</t>
  </si>
  <si>
    <t>Machine-975</t>
  </si>
  <si>
    <t>AST1976</t>
  </si>
  <si>
    <t>Machine-976</t>
  </si>
  <si>
    <t>AST1977</t>
  </si>
  <si>
    <t>Machine-977</t>
  </si>
  <si>
    <t>AST1978</t>
  </si>
  <si>
    <t>Machine-978</t>
  </si>
  <si>
    <t>AST1979</t>
  </si>
  <si>
    <t>Machine-979</t>
  </si>
  <si>
    <t>AST1980</t>
  </si>
  <si>
    <t>Machine-980</t>
  </si>
  <si>
    <t>AST1981</t>
  </si>
  <si>
    <t>Machine-981</t>
  </si>
  <si>
    <t>AST1982</t>
  </si>
  <si>
    <t>Machine-982</t>
  </si>
  <si>
    <t>AST1983</t>
  </si>
  <si>
    <t>Machine-983</t>
  </si>
  <si>
    <t>AST1984</t>
  </si>
  <si>
    <t>Machine-984</t>
  </si>
  <si>
    <t>AST1985</t>
  </si>
  <si>
    <t>Machine-985</t>
  </si>
  <si>
    <t>AST1986</t>
  </si>
  <si>
    <t>Machine-986</t>
  </si>
  <si>
    <t>AST1987</t>
  </si>
  <si>
    <t>Machine-987</t>
  </si>
  <si>
    <t>AST1988</t>
  </si>
  <si>
    <t>Machine-988</t>
  </si>
  <si>
    <t>AST1989</t>
  </si>
  <si>
    <t>Machine-989</t>
  </si>
  <si>
    <t>AST1990</t>
  </si>
  <si>
    <t>Machine-990</t>
  </si>
  <si>
    <t>AST1991</t>
  </si>
  <si>
    <t>Machine-991</t>
  </si>
  <si>
    <t>AST1992</t>
  </si>
  <si>
    <t>Machine-992</t>
  </si>
  <si>
    <t>AST1993</t>
  </si>
  <si>
    <t>Machine-993</t>
  </si>
  <si>
    <t>AST1994</t>
  </si>
  <si>
    <t>Machine-994</t>
  </si>
  <si>
    <t>AST1995</t>
  </si>
  <si>
    <t>Machine-995</t>
  </si>
  <si>
    <t>AST1996</t>
  </si>
  <si>
    <t>Machine-996</t>
  </si>
  <si>
    <t>AST1997</t>
  </si>
  <si>
    <t>Machine-997</t>
  </si>
  <si>
    <t>AST1998</t>
  </si>
  <si>
    <t>Machine-998</t>
  </si>
  <si>
    <t>AST1999</t>
  </si>
  <si>
    <t>Machine-999</t>
  </si>
  <si>
    <t>AST2000</t>
  </si>
  <si>
    <t>Machine-1000</t>
  </si>
  <si>
    <t>Total Assets</t>
  </si>
  <si>
    <t>Active Assets</t>
  </si>
  <si>
    <t>Total Downtime</t>
  </si>
  <si>
    <t>Maintenance Cost</t>
  </si>
  <si>
    <t>Avg Repair Time</t>
  </si>
  <si>
    <t>Availability %</t>
  </si>
  <si>
    <t>Avg Asset Age</t>
  </si>
  <si>
    <t>Total Maintenance Cost</t>
  </si>
  <si>
    <t>Machine Type</t>
  </si>
  <si>
    <t>Total Downtime (Hours)</t>
  </si>
  <si>
    <t>Count of Asset_ID</t>
  </si>
  <si>
    <t>Asset Status</t>
  </si>
  <si>
    <t>Maintenance Type</t>
  </si>
  <si>
    <t>Maintenance Count</t>
  </si>
  <si>
    <t>work Oredrs</t>
  </si>
  <si>
    <t>Failure Type</t>
  </si>
  <si>
    <t>Failure Count</t>
  </si>
  <si>
    <t>Asset Age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</si>
</sst>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4009]\ #,##0"/>
    <numFmt numFmtId="166" formatCode="0.0%"/>
    <numFmt numFmtId="167" formatCode="&quot;£&quot;#,##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165" fontId="0" fillId="0" borderId="0" xfId="0" applyNumberFormat="1"/>
    <xf numFmtId="166" fontId="0" fillId="0" borderId="0" xfId="0" applyNumberFormat="1"/>
    <xf numFmtId="1" fontId="0" fillId="0" borderId="0" xfId="0" applyNumberFormat="1"/>
    <xf numFmtId="0" fontId="0" fillId="0" borderId="0" xfId="0" pivotButton="1"/>
    <xf numFmtId="0" fontId="0" fillId="0" borderId="0" xfId="0" applyAlignment="1">
      <alignment horizontal="left"/>
    </xf>
    <xf numFmtId="167" fontId="0" fillId="0" borderId="0" xfId="0" applyNumberFormat="1"/>
    <xf numFmtId="3" fontId="0" fillId="0" borderId="0" xfId="0" applyNumberFormat="1"/>
  </cellXfs>
  <cellStyles count="1">
    <cellStyle name="Normal" xfId="0" builtinId="0"/>
  </cellStyles>
  <dxfs count="24">
    <dxf>
      <numFmt numFmtId="167" formatCode="&quot;£&quot;#,##0.00"/>
    </dxf>
    <dxf>
      <numFmt numFmtId="1" formatCode="0"/>
    </dxf>
    <dxf>
      <numFmt numFmtId="167" formatCode="&quot;£&quot;#,##0.00"/>
    </dxf>
    <dxf>
      <numFmt numFmtId="1" formatCode="0"/>
    </dxf>
    <dxf>
      <numFmt numFmtId="167" formatCode="&quot;£&quot;#,##0.00"/>
    </dxf>
    <dxf>
      <numFmt numFmtId="1" formatCode="0"/>
    </dxf>
    <dxf>
      <numFmt numFmtId="167" formatCode="&quot;£&quot;#,##0.00"/>
    </dxf>
    <dxf>
      <numFmt numFmtId="1" formatCode="0"/>
    </dxf>
    <dxf>
      <numFmt numFmtId="1" formatCode="0"/>
    </dxf>
    <dxf>
      <numFmt numFmtId="167" formatCode="&quot;£&quot;#,##0.00"/>
    </dxf>
    <dxf>
      <numFmt numFmtId="1" formatCode="0"/>
    </dxf>
    <dxf>
      <numFmt numFmtId="167" formatCode="&quot;£&quot;#,##0.00"/>
    </dxf>
    <dxf>
      <numFmt numFmtId="1" formatCode="0"/>
    </dxf>
    <dxf>
      <numFmt numFmtId="167" formatCode="&quot;£&quot;#,##0.00"/>
    </dxf>
    <dxf>
      <numFmt numFmtId="1" formatCode="0"/>
    </dxf>
    <dxf>
      <numFmt numFmtId="167" formatCode="&quot;£&quot;#,##0.00"/>
    </dxf>
    <dxf>
      <numFmt numFmtId="1" formatCode="0"/>
    </dxf>
    <dxf>
      <numFmt numFmtId="167" formatCode="&quot;£&quot;#,##0.00"/>
    </dxf>
    <dxf>
      <numFmt numFmtId="165" formatCode="[$₹-4009]\ #,##0"/>
    </dxf>
    <dxf>
      <numFmt numFmtId="167" formatCode="&quot;£&quot;#,##0.00"/>
    </dxf>
    <dxf>
      <numFmt numFmtId="1" formatCode="0"/>
    </dxf>
    <dxf>
      <numFmt numFmtId="167" formatCode="&quot;£&quot;#,##0.00"/>
    </dxf>
    <dxf>
      <numFmt numFmtId="165" formatCode="[$₹-4009]\ #,##0"/>
    </dxf>
    <dxf>
      <numFmt numFmtId="167" formatCode="&quot;£&quot;#,##0.00"/>
    </dxf>
  </dxfs>
  <tableStyles count="0" defaultTableStyle="TableStyleMedium9" defaultPivotStyle="PivotStyleLight16"/>
  <colors>
    <mruColors>
      <color rgb="FF0033CC"/>
      <color rgb="FF008080"/>
      <color rgb="FFCC0000"/>
      <color rgb="FF990000"/>
      <color rgb="FFFF6600"/>
      <color rgb="FF006600"/>
      <color rgb="FF008000"/>
      <color rgb="FF009900"/>
      <color rgb="FF009999"/>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[Industrial_Asset_Maintenance_Dataset.xlsx]Pivote!PivotTable2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Maintenance Cost</a:t>
            </a:r>
            <a:r>
              <a:rPr lang="en-US" baseline="0"/>
              <a:t> by Plant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Pivote!$C$3</c:f>
              <c:strCache>
                <c:ptCount val="1"/>
                <c:pt idx="0">
                  <c:v>Total</c:v>
                </c:pt>
              </c:strCache>
            </c:strRef>
          </c:tx>
          <c:spPr>
            <a:solidFill>
              <a:schemeClr val="accent1"/>
            </a:solidFill>
            <a:ln>
              <a:noFill/>
            </a:ln>
            <a:effectLst/>
          </c:spPr>
          <c:invertIfNegative val="0"/>
          <c:cat>
            <c:strRef>
              <c:f>Pivote!$B$4:$B$8</c:f>
              <c:strCache>
                <c:ptCount val="5"/>
                <c:pt idx="0">
                  <c:v>Pune</c:v>
                </c:pt>
                <c:pt idx="1">
                  <c:v>Vizag</c:v>
                </c:pt>
                <c:pt idx="2">
                  <c:v>Hyderabad</c:v>
                </c:pt>
                <c:pt idx="3">
                  <c:v>Bengaluru</c:v>
                </c:pt>
                <c:pt idx="4">
                  <c:v>Chennai</c:v>
                </c:pt>
              </c:strCache>
            </c:strRef>
          </c:cat>
          <c:val>
            <c:numRef>
              <c:f>Pivote!$C$4:$C$8</c:f>
              <c:numCache>
                <c:formatCode>[$₹-4009]\ #,##0</c:formatCode>
                <c:ptCount val="5"/>
                <c:pt idx="0">
                  <c:v>5218953</c:v>
                </c:pt>
                <c:pt idx="1">
                  <c:v>4854897</c:v>
                </c:pt>
                <c:pt idx="2">
                  <c:v>4724012</c:v>
                </c:pt>
                <c:pt idx="3">
                  <c:v>4657081</c:v>
                </c:pt>
                <c:pt idx="4">
                  <c:v>4130588</c:v>
                </c:pt>
              </c:numCache>
            </c:numRef>
          </c:val>
          <c:extLst>
            <c:ext xmlns:c16="http://schemas.microsoft.com/office/drawing/2014/chart" uri="{C3380CC4-5D6E-409C-BE32-E72D297353CC}">
              <c16:uniqueId val="{00000000-E132-484F-9180-F000F75D7323}"/>
            </c:ext>
          </c:extLst>
        </c:ser>
        <c:dLbls>
          <c:showLegendKey val="0"/>
          <c:showVal val="0"/>
          <c:showCatName val="0"/>
          <c:showSerName val="0"/>
          <c:showPercent val="0"/>
          <c:showBubbleSize val="0"/>
        </c:dLbls>
        <c:gapWidth val="219"/>
        <c:overlap val="-27"/>
        <c:axId val="931862047"/>
        <c:axId val="931865887"/>
      </c:barChart>
      <c:catAx>
        <c:axId val="931862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865887"/>
        <c:crosses val="autoZero"/>
        <c:auto val="1"/>
        <c:lblAlgn val="ctr"/>
        <c:lblOffset val="100"/>
        <c:noMultiLvlLbl val="0"/>
      </c:catAx>
      <c:valAx>
        <c:axId val="931865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Repair cost INR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09]\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86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[Industrial_Asset_Maintenance_Dataset.xlsx]Pivote!PivotTable3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Downtime</a:t>
            </a:r>
            <a:r>
              <a:rPr lang="en-US" baseline="0"/>
              <a:t> by Machine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Pivote!$G$3</c:f>
              <c:strCache>
                <c:ptCount val="1"/>
                <c:pt idx="0">
                  <c:v>Total</c:v>
                </c:pt>
              </c:strCache>
            </c:strRef>
          </c:tx>
          <c:spPr>
            <a:solidFill>
              <a:schemeClr val="accent1"/>
            </a:solidFill>
            <a:ln>
              <a:noFill/>
            </a:ln>
            <a:effectLst/>
          </c:spPr>
          <c:invertIfNegative val="0"/>
          <c:cat>
            <c:strRef>
              <c:f>Pivote!$F$4:$F$10</c:f>
              <c:strCache>
                <c:ptCount val="7"/>
                <c:pt idx="0">
                  <c:v>Conveyor</c:v>
                </c:pt>
                <c:pt idx="1">
                  <c:v>Boiler</c:v>
                </c:pt>
                <c:pt idx="2">
                  <c:v>CNC Machine</c:v>
                </c:pt>
                <c:pt idx="3">
                  <c:v>Pump</c:v>
                </c:pt>
                <c:pt idx="4">
                  <c:v>Generator</c:v>
                </c:pt>
                <c:pt idx="5">
                  <c:v>Robot Arm</c:v>
                </c:pt>
                <c:pt idx="6">
                  <c:v>Compressor</c:v>
                </c:pt>
              </c:strCache>
            </c:strRef>
          </c:cat>
          <c:val>
            <c:numRef>
              <c:f>Pivote!$G$4:$G$10</c:f>
              <c:numCache>
                <c:formatCode>0</c:formatCode>
                <c:ptCount val="7"/>
                <c:pt idx="0">
                  <c:v>999.70000000000016</c:v>
                </c:pt>
                <c:pt idx="1">
                  <c:v>1161.0000000000005</c:v>
                </c:pt>
                <c:pt idx="2">
                  <c:v>1205.2</c:v>
                </c:pt>
                <c:pt idx="3">
                  <c:v>1249.5000000000007</c:v>
                </c:pt>
                <c:pt idx="4">
                  <c:v>1398.0000000000005</c:v>
                </c:pt>
                <c:pt idx="5">
                  <c:v>1575.4999999999991</c:v>
                </c:pt>
                <c:pt idx="6">
                  <c:v>1604.1000000000008</c:v>
                </c:pt>
              </c:numCache>
            </c:numRef>
          </c:val>
          <c:extLst>
            <c:ext xmlns:c16="http://schemas.microsoft.com/office/drawing/2014/chart" uri="{C3380CC4-5D6E-409C-BE32-E72D297353CC}">
              <c16:uniqueId val="{00000000-8175-4AF8-AA4E-6FFDFD3B60F9}"/>
            </c:ext>
          </c:extLst>
        </c:ser>
        <c:dLbls>
          <c:showLegendKey val="0"/>
          <c:showVal val="0"/>
          <c:showCatName val="0"/>
          <c:showSerName val="0"/>
          <c:showPercent val="0"/>
          <c:showBubbleSize val="0"/>
        </c:dLbls>
        <c:gapWidth val="182"/>
        <c:axId val="931879807"/>
        <c:axId val="931876927"/>
      </c:barChart>
      <c:catAx>
        <c:axId val="9318798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Machine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876927"/>
        <c:crosses val="autoZero"/>
        <c:auto val="1"/>
        <c:lblAlgn val="ctr"/>
        <c:lblOffset val="100"/>
        <c:noMultiLvlLbl val="0"/>
      </c:catAx>
      <c:valAx>
        <c:axId val="9318769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87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[Industrial_Asset_Maintenance_Dataset.xlsx]Pivote!PivotTable1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Asset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Pivote!$K$3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C0-4099-8B16-C2F8480033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C0-4099-8B16-C2F8480033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C0-4099-8B16-C2F848003392}"/>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C0-4099-8B16-C2F848003392}"/>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C0-4099-8B16-C2F848003392}"/>
                </c:ext>
              </c:extLst>
            </c:dLbl>
            <c:dLbl>
              <c:idx val="2"/>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C0-4099-8B16-C2F8480033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Pivote!$J$4:$J$6</c:f>
              <c:strCache>
                <c:ptCount val="3"/>
                <c:pt idx="0">
                  <c:v>Active</c:v>
                </c:pt>
                <c:pt idx="1">
                  <c:v>Idle</c:v>
                </c:pt>
                <c:pt idx="2">
                  <c:v>Under Maintenance</c:v>
                </c:pt>
              </c:strCache>
            </c:strRef>
          </c:cat>
          <c:val>
            <c:numRef>
              <c:f>Pivote!$K$4:$K$6</c:f>
              <c:numCache>
                <c:formatCode>0</c:formatCode>
                <c:ptCount val="3"/>
                <c:pt idx="0">
                  <c:v>322</c:v>
                </c:pt>
                <c:pt idx="1">
                  <c:v>365</c:v>
                </c:pt>
                <c:pt idx="2">
                  <c:v>313</c:v>
                </c:pt>
              </c:numCache>
            </c:numRef>
          </c:val>
          <c:extLst>
            <c:ext xmlns:c16="http://schemas.microsoft.com/office/drawing/2014/chart" uri="{C3380CC4-5D6E-409C-BE32-E72D297353CC}">
              <c16:uniqueId val="{00000000-C2EF-4A26-A149-92BA0817D8C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[Industrial_Asset_Maintenance_Dataset.xlsx]Pivote!PivotTable4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Pivote!$O$3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D9-40B6-BCB2-EB16C564B5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D9-40B6-BCB2-EB16C564B5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D9-40B6-BCB2-EB16C564B5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Pivote!$N$4:$N$6</c:f>
              <c:strCache>
                <c:ptCount val="3"/>
                <c:pt idx="0">
                  <c:v>Preventive</c:v>
                </c:pt>
                <c:pt idx="1">
                  <c:v>Corrective</c:v>
                </c:pt>
                <c:pt idx="2">
                  <c:v>Predictive</c:v>
                </c:pt>
              </c:strCache>
            </c:strRef>
          </c:cat>
          <c:val>
            <c:numRef>
              <c:f>Pivote!$O$4:$O$6</c:f>
              <c:numCache>
                <c:formatCode>0</c:formatCode>
                <c:ptCount val="3"/>
                <c:pt idx="0">
                  <c:v>502</c:v>
                </c:pt>
                <c:pt idx="1">
                  <c:v>363</c:v>
                </c:pt>
                <c:pt idx="2">
                  <c:v>135</c:v>
                </c:pt>
              </c:numCache>
            </c:numRef>
          </c:val>
          <c:extLst>
            <c:ext xmlns:c16="http://schemas.microsoft.com/office/drawing/2014/chart" uri="{C3380CC4-5D6E-409C-BE32-E72D297353CC}">
              <c16:uniqueId val="{00000000-B17D-4434-8013-7EB51DB3D3D2}"/>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[Industrial_Asset_Maintenance_Dataset.xlsx]Pivote!PivotTable5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Technician</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Pivote!$C$25</c:f>
              <c:strCache>
                <c:ptCount val="1"/>
                <c:pt idx="0">
                  <c:v>Total</c:v>
                </c:pt>
              </c:strCache>
            </c:strRef>
          </c:tx>
          <c:spPr>
            <a:solidFill>
              <a:schemeClr val="accent1"/>
            </a:solidFill>
            <a:ln>
              <a:noFill/>
            </a:ln>
            <a:effectLst/>
          </c:spPr>
          <c:invertIfNegative val="0"/>
          <c:cat>
            <c:strRef>
              <c:f>Pivote!$B$26:$B$31</c:f>
              <c:strCache>
                <c:ptCount val="6"/>
                <c:pt idx="0">
                  <c:v>Ravi</c:v>
                </c:pt>
                <c:pt idx="1">
                  <c:v>Kumar</c:v>
                </c:pt>
                <c:pt idx="2">
                  <c:v>Anil</c:v>
                </c:pt>
                <c:pt idx="3">
                  <c:v>Meena</c:v>
                </c:pt>
                <c:pt idx="4">
                  <c:v>Priya</c:v>
                </c:pt>
                <c:pt idx="5">
                  <c:v>Rahul</c:v>
                </c:pt>
              </c:strCache>
            </c:strRef>
          </c:cat>
          <c:val>
            <c:numRef>
              <c:f>Pivote!$C$26:$C$31</c:f>
              <c:numCache>
                <c:formatCode>0</c:formatCode>
                <c:ptCount val="6"/>
                <c:pt idx="0">
                  <c:v>177</c:v>
                </c:pt>
                <c:pt idx="1">
                  <c:v>176</c:v>
                </c:pt>
                <c:pt idx="2">
                  <c:v>168</c:v>
                </c:pt>
                <c:pt idx="3">
                  <c:v>166</c:v>
                </c:pt>
                <c:pt idx="4">
                  <c:v>161</c:v>
                </c:pt>
                <c:pt idx="5">
                  <c:v>152</c:v>
                </c:pt>
              </c:numCache>
            </c:numRef>
          </c:val>
          <c:extLst>
            <c:ext xmlns:c16="http://schemas.microsoft.com/office/drawing/2014/chart" uri="{C3380CC4-5D6E-409C-BE32-E72D297353CC}">
              <c16:uniqueId val="{00000000-A347-4648-A1A8-E0EC14454468}"/>
            </c:ext>
          </c:extLst>
        </c:ser>
        <c:dLbls>
          <c:showLegendKey val="0"/>
          <c:showVal val="0"/>
          <c:showCatName val="0"/>
          <c:showSerName val="0"/>
          <c:showPercent val="0"/>
          <c:showBubbleSize val="0"/>
        </c:dLbls>
        <c:gapWidth val="219"/>
        <c:overlap val="-27"/>
        <c:axId val="373600191"/>
        <c:axId val="373600671"/>
      </c:barChart>
      <c:catAx>
        <c:axId val="373600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Technician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600671"/>
        <c:crosses val="autoZero"/>
        <c:auto val="1"/>
        <c:lblAlgn val="ctr"/>
        <c:lblOffset val="100"/>
        <c:noMultiLvlLbl val="0"/>
      </c:catAx>
      <c:valAx>
        <c:axId val="373600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Work</a:t>
                </a:r>
                <a:r>
                  <a:rPr lang="en-IN" baseline="0"/>
                  <a:t> Oreders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60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[Industrial_Asset_Maintenance_Dataset.xlsx]Pivote!PivotTable6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Failure Type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Pivote!$G$25</c:f>
              <c:strCache>
                <c:ptCount val="1"/>
                <c:pt idx="0">
                  <c:v>Total</c:v>
                </c:pt>
              </c:strCache>
            </c:strRef>
          </c:tx>
          <c:spPr>
            <a:solidFill>
              <a:schemeClr val="accent1"/>
            </a:solidFill>
            <a:ln>
              <a:noFill/>
            </a:ln>
            <a:effectLst/>
          </c:spPr>
          <c:invertIfNegative val="0"/>
          <c:cat>
            <c:strRef>
              <c:f>Pivote!$F$26:$F$30</c:f>
              <c:strCache>
                <c:ptCount val="5"/>
                <c:pt idx="0">
                  <c:v>Sensor Fault</c:v>
                </c:pt>
                <c:pt idx="1">
                  <c:v>Motor Failure</c:v>
                </c:pt>
                <c:pt idx="2">
                  <c:v>Bearing Failure</c:v>
                </c:pt>
                <c:pt idx="3">
                  <c:v>Overheating</c:v>
                </c:pt>
                <c:pt idx="4">
                  <c:v>Electrical Fault</c:v>
                </c:pt>
              </c:strCache>
            </c:strRef>
          </c:cat>
          <c:val>
            <c:numRef>
              <c:f>Pivote!$G$26:$G$30</c:f>
              <c:numCache>
                <c:formatCode>0</c:formatCode>
                <c:ptCount val="5"/>
                <c:pt idx="0">
                  <c:v>148</c:v>
                </c:pt>
                <c:pt idx="1">
                  <c:v>161</c:v>
                </c:pt>
                <c:pt idx="2">
                  <c:v>168</c:v>
                </c:pt>
                <c:pt idx="3">
                  <c:v>172</c:v>
                </c:pt>
                <c:pt idx="4">
                  <c:v>176</c:v>
                </c:pt>
              </c:numCache>
            </c:numRef>
          </c:val>
          <c:extLst>
            <c:ext xmlns:c16="http://schemas.microsoft.com/office/drawing/2014/chart" uri="{C3380CC4-5D6E-409C-BE32-E72D297353CC}">
              <c16:uniqueId val="{00000000-6F19-4D2E-83D6-9A743FC937EA}"/>
            </c:ext>
          </c:extLst>
        </c:ser>
        <c:dLbls>
          <c:showLegendKey val="0"/>
          <c:showVal val="0"/>
          <c:showCatName val="0"/>
          <c:showSerName val="0"/>
          <c:showPercent val="0"/>
          <c:showBubbleSize val="0"/>
        </c:dLbls>
        <c:gapWidth val="182"/>
        <c:axId val="373616991"/>
        <c:axId val="373605471"/>
      </c:barChart>
      <c:catAx>
        <c:axId val="3736169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Failur</a:t>
                </a:r>
                <a:r>
                  <a:rPr lang="en-IN" baseline="0"/>
                  <a:t> Type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605471"/>
        <c:crosses val="autoZero"/>
        <c:auto val="1"/>
        <c:lblAlgn val="ctr"/>
        <c:lblOffset val="100"/>
        <c:noMultiLvlLbl val="0"/>
      </c:catAx>
      <c:valAx>
        <c:axId val="3736054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61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[Industrial_Asset_Maintenance_Dataset.xlsx]Pivote!PivotTable7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Maintenance</a:t>
            </a:r>
            <a:r>
              <a:rPr lang="en-US" baseline="0"/>
              <a:t> Cost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Pivote!$K$25</c:f>
              <c:strCache>
                <c:ptCount val="1"/>
                <c:pt idx="0">
                  <c:v>Total</c:v>
                </c:pt>
              </c:strCache>
            </c:strRef>
          </c:tx>
          <c:spPr>
            <a:solidFill>
              <a:schemeClr val="accent1"/>
            </a:solidFill>
            <a:ln>
              <a:noFill/>
            </a:ln>
            <a:effectLst/>
          </c:spPr>
          <c:invertIfNegative val="0"/>
          <c:cat>
            <c:strRef>
              <c:f>Pivote!$J$26:$J$30</c:f>
              <c:strCache>
                <c:ptCount val="5"/>
                <c:pt idx="0">
                  <c:v>Quality</c:v>
                </c:pt>
                <c:pt idx="1">
                  <c:v>Packaging</c:v>
                </c:pt>
                <c:pt idx="2">
                  <c:v>Utilities</c:v>
                </c:pt>
                <c:pt idx="3">
                  <c:v>Assembly</c:v>
                </c:pt>
                <c:pt idx="4">
                  <c:v>Production</c:v>
                </c:pt>
              </c:strCache>
            </c:strRef>
          </c:cat>
          <c:val>
            <c:numRef>
              <c:f>Pivote!$K$26:$K$30</c:f>
              <c:numCache>
                <c:formatCode>[$₹-4009]\ #,##0</c:formatCode>
                <c:ptCount val="5"/>
                <c:pt idx="0">
                  <c:v>5100031</c:v>
                </c:pt>
                <c:pt idx="1">
                  <c:v>5024638</c:v>
                </c:pt>
                <c:pt idx="2">
                  <c:v>4796910</c:v>
                </c:pt>
                <c:pt idx="3">
                  <c:v>4340606</c:v>
                </c:pt>
                <c:pt idx="4">
                  <c:v>4323346</c:v>
                </c:pt>
              </c:numCache>
            </c:numRef>
          </c:val>
          <c:extLst>
            <c:ext xmlns:c16="http://schemas.microsoft.com/office/drawing/2014/chart" uri="{C3380CC4-5D6E-409C-BE32-E72D297353CC}">
              <c16:uniqueId val="{00000000-B53B-4148-8C1C-4CAD02BD82D2}"/>
            </c:ext>
          </c:extLst>
        </c:ser>
        <c:dLbls>
          <c:showLegendKey val="0"/>
          <c:showVal val="0"/>
          <c:showCatName val="0"/>
          <c:showSerName val="0"/>
          <c:showPercent val="0"/>
          <c:showBubbleSize val="0"/>
        </c:dLbls>
        <c:gapWidth val="219"/>
        <c:overlap val="-27"/>
        <c:axId val="373634751"/>
        <c:axId val="373628031"/>
      </c:barChart>
      <c:catAx>
        <c:axId val="373634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628031"/>
        <c:crosses val="autoZero"/>
        <c:auto val="1"/>
        <c:lblAlgn val="ctr"/>
        <c:lblOffset val="100"/>
        <c:noMultiLvlLbl val="0"/>
      </c:catAx>
      <c:valAx>
        <c:axId val="373628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Maintenance</a:t>
                </a:r>
                <a:r>
                  <a:rPr lang="en-IN" baseline="0"/>
                  <a:t> Cost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63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[Industrial_Asset_Maintenance_Dataset.xlsx]Pivote!PivotTable8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Asset 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Pivote!$O$22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Pivote!$N$23:$N$34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Pivote!$O$23:$O$34</c:f>
              <c:numCache>
                <c:formatCode>0</c:formatCode>
                <c:ptCount val="12"/>
                <c:pt idx="0">
                  <c:v>91</c:v>
                </c:pt>
                <c:pt idx="1">
                  <c:v>95</c:v>
                </c:pt>
                <c:pt idx="2">
                  <c:v>86</c:v>
                </c:pt>
                <c:pt idx="3">
                  <c:v>90</c:v>
                </c:pt>
                <c:pt idx="4">
                  <c:v>64</c:v>
                </c:pt>
                <c:pt idx="5">
                  <c:v>96</c:v>
                </c:pt>
                <c:pt idx="6">
                  <c:v>88</c:v>
                </c:pt>
                <c:pt idx="7">
                  <c:v>70</c:v>
                </c:pt>
                <c:pt idx="8">
                  <c:v>77</c:v>
                </c:pt>
                <c:pt idx="9">
                  <c:v>84</c:v>
                </c:pt>
                <c:pt idx="10">
                  <c:v>76</c:v>
                </c:pt>
                <c:pt idx="11">
                  <c:v>83</c:v>
                </c:pt>
              </c:numCache>
            </c:numRef>
          </c:val>
          <c:smooth val="0"/>
          <c:extLst>
            <c:ext xmlns:c16="http://schemas.microsoft.com/office/drawing/2014/chart" uri="{C3380CC4-5D6E-409C-BE32-E72D297353CC}">
              <c16:uniqueId val="{00000000-69AF-4C0F-9106-E460DFA0DBC0}"/>
            </c:ext>
          </c:extLst>
        </c:ser>
        <c:dLbls>
          <c:showLegendKey val="0"/>
          <c:showVal val="0"/>
          <c:showCatName val="0"/>
          <c:showSerName val="0"/>
          <c:showPercent val="0"/>
          <c:showBubbleSize val="0"/>
        </c:dLbls>
        <c:marker val="1"/>
        <c:smooth val="0"/>
        <c:axId val="437172607"/>
        <c:axId val="437189887"/>
      </c:lineChart>
      <c:catAx>
        <c:axId val="437172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Asset</a:t>
                </a:r>
                <a:r>
                  <a:rPr lang="en-IN" baseline="0"/>
                  <a:t> Age Years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89887"/>
        <c:crosses val="autoZero"/>
        <c:auto val="1"/>
        <c:lblAlgn val="ctr"/>
        <c:lblOffset val="100"/>
        <c:noMultiLvlLbl val="0"/>
      </c:catAx>
      <c:valAx>
        <c:axId val="437189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Asset ID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7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[Industrial_Asset_Maintenance_Dataset.xlsx]Pivote!PivotTable2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Pivote!$C$3</c:f>
              <c:strCache>
                <c:ptCount val="1"/>
                <c:pt idx="0">
                  <c:v>Total</c:v>
                </c:pt>
              </c:strCache>
            </c:strRef>
          </c:tx>
          <c:spPr>
            <a:solidFill>
              <a:srgbClr val="00206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Pivote!$B$4:$B$8</c:f>
              <c:strCache>
                <c:ptCount val="5"/>
                <c:pt idx="0">
                  <c:v>Pune</c:v>
                </c:pt>
                <c:pt idx="1">
                  <c:v>Vizag</c:v>
                </c:pt>
                <c:pt idx="2">
                  <c:v>Hyderabad</c:v>
                </c:pt>
                <c:pt idx="3">
                  <c:v>Bengaluru</c:v>
                </c:pt>
                <c:pt idx="4">
                  <c:v>Chennai</c:v>
                </c:pt>
              </c:strCache>
            </c:strRef>
          </c:cat>
          <c:val>
            <c:numRef>
              <c:f>Pivote!$C$4:$C$8</c:f>
              <c:numCache>
                <c:formatCode>[$₹-4009]\ #,##0</c:formatCode>
                <c:ptCount val="5"/>
                <c:pt idx="0">
                  <c:v>5218953</c:v>
                </c:pt>
                <c:pt idx="1">
                  <c:v>4854897</c:v>
                </c:pt>
                <c:pt idx="2">
                  <c:v>4724012</c:v>
                </c:pt>
                <c:pt idx="3">
                  <c:v>4657081</c:v>
                </c:pt>
                <c:pt idx="4">
                  <c:v>4130588</c:v>
                </c:pt>
              </c:numCache>
            </c:numRef>
          </c:val>
          <c:extLst>
            <c:ext xmlns:c16="http://schemas.microsoft.com/office/drawing/2014/chart" uri="{C3380CC4-5D6E-409C-BE32-E72D297353CC}">
              <c16:uniqueId val="{00000000-AC6D-42F3-BBCA-38E02DD9BE51}"/>
            </c:ext>
          </c:extLst>
        </c:ser>
        <c:dLbls>
          <c:dLblPos val="outEnd"/>
          <c:showLegendKey val="0"/>
          <c:showVal val="1"/>
          <c:showCatName val="0"/>
          <c:showSerName val="0"/>
          <c:showPercent val="0"/>
          <c:showBubbleSize val="0"/>
        </c:dLbls>
        <c:gapWidth val="85"/>
        <c:overlap val="-30"/>
        <c:axId val="931862047"/>
        <c:axId val="931865887"/>
      </c:barChart>
      <c:catAx>
        <c:axId val="93186204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Plant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1865887"/>
        <c:crosses val="autoZero"/>
        <c:auto val="1"/>
        <c:lblAlgn val="ctr"/>
        <c:lblOffset val="100"/>
        <c:noMultiLvlLbl val="0"/>
      </c:catAx>
      <c:valAx>
        <c:axId val="931865887"/>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Repair cost INR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4009]\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186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[Industrial_Asset_Maintenance_Dataset.xlsx]Pivote!PivotTable3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Pivote!$G$3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Pivote!$F$4:$F$10</c:f>
              <c:strCache>
                <c:ptCount val="7"/>
                <c:pt idx="0">
                  <c:v>Conveyor</c:v>
                </c:pt>
                <c:pt idx="1">
                  <c:v>Boiler</c:v>
                </c:pt>
                <c:pt idx="2">
                  <c:v>CNC Machine</c:v>
                </c:pt>
                <c:pt idx="3">
                  <c:v>Pump</c:v>
                </c:pt>
                <c:pt idx="4">
                  <c:v>Generator</c:v>
                </c:pt>
                <c:pt idx="5">
                  <c:v>Robot Arm</c:v>
                </c:pt>
                <c:pt idx="6">
                  <c:v>Compressor</c:v>
                </c:pt>
              </c:strCache>
            </c:strRef>
          </c:cat>
          <c:val>
            <c:numRef>
              <c:f>Pivote!$G$4:$G$10</c:f>
              <c:numCache>
                <c:formatCode>0</c:formatCode>
                <c:ptCount val="7"/>
                <c:pt idx="0">
                  <c:v>999.70000000000016</c:v>
                </c:pt>
                <c:pt idx="1">
                  <c:v>1161.0000000000005</c:v>
                </c:pt>
                <c:pt idx="2">
                  <c:v>1205.2</c:v>
                </c:pt>
                <c:pt idx="3">
                  <c:v>1249.5000000000007</c:v>
                </c:pt>
                <c:pt idx="4">
                  <c:v>1398.0000000000005</c:v>
                </c:pt>
                <c:pt idx="5">
                  <c:v>1575.4999999999991</c:v>
                </c:pt>
                <c:pt idx="6">
                  <c:v>1604.1000000000008</c:v>
                </c:pt>
              </c:numCache>
            </c:numRef>
          </c:val>
          <c:extLst>
            <c:ext xmlns:c16="http://schemas.microsoft.com/office/drawing/2014/chart" uri="{C3380CC4-5D6E-409C-BE32-E72D297353CC}">
              <c16:uniqueId val="{00000000-ACFE-44F5-8CA5-84FDF00BD0AD}"/>
            </c:ext>
          </c:extLst>
        </c:ser>
        <c:dLbls>
          <c:dLblPos val="outEnd"/>
          <c:showLegendKey val="0"/>
          <c:showVal val="1"/>
          <c:showCatName val="0"/>
          <c:showSerName val="0"/>
          <c:showPercent val="0"/>
          <c:showBubbleSize val="0"/>
        </c:dLbls>
        <c:gapWidth val="70"/>
        <c:axId val="931879807"/>
        <c:axId val="931876927"/>
      </c:barChart>
      <c:catAx>
        <c:axId val="93187980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Machine Type</a:t>
                </a:r>
              </a:p>
            </c:rich>
          </c:tx>
          <c:overlay val="0"/>
          <c:spPr>
            <a:solidFill>
              <a:schemeClr val="bg1"/>
            </a:solid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1876927"/>
        <c:crosses val="autoZero"/>
        <c:auto val="1"/>
        <c:lblAlgn val="ctr"/>
        <c:lblOffset val="100"/>
        <c:noMultiLvlLbl val="0"/>
      </c:catAx>
      <c:valAx>
        <c:axId val="931876927"/>
        <c:scaling>
          <c:orientation val="minMax"/>
        </c:scaling>
        <c:delete val="0"/>
        <c:axPos val="b"/>
        <c:title>
          <c:tx>
            <c:rich>
              <a:bodyPr rot="0" spcFirstLastPara="1" vertOverflow="ellipsis" vert="horz" wrap="square" anchor="ctr" anchorCtr="1"/>
              <a:lstStyle/>
              <a:p>
                <a:pPr algn="ctr">
                  <a:defRPr sz="1000" b="1" i="0" u="none" strike="noStrike" kern="1200" baseline="0">
                    <a:solidFill>
                      <a:schemeClr val="tx1"/>
                    </a:solidFill>
                    <a:latin typeface="+mn-lt"/>
                    <a:ea typeface="+mn-ea"/>
                    <a:cs typeface="+mn-cs"/>
                  </a:defRPr>
                </a:pPr>
                <a:r>
                  <a:rPr lang="en-IN" b="1">
                    <a:solidFill>
                      <a:schemeClr val="tx1"/>
                    </a:solidFill>
                  </a:rPr>
                  <a:t>Total Downtime (Hours)</a:t>
                </a:r>
              </a:p>
            </c:rich>
          </c:tx>
          <c:overlay val="0"/>
          <c:spPr>
            <a:noFill/>
            <a:ln>
              <a:noFill/>
            </a:ln>
            <a:effectLst/>
          </c:spPr>
          <c:txPr>
            <a:bodyPr rot="0" spcFirstLastPara="1" vertOverflow="ellipsis" vert="horz" wrap="square" anchor="ctr" anchorCtr="1"/>
            <a:lstStyle/>
            <a:p>
              <a:pPr algn="ctr">
                <a:defRPr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187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[Industrial_Asset_Maintenance_Dataset.xlsx]Pivote!PivotTable1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rgbClr val="0070C0"/>
          </a:solidFill>
          <a:ln w="19050">
            <a:solidFill>
              <a:schemeClr val="lt1"/>
            </a:solidFill>
          </a:ln>
          <a:effectLst/>
        </c:spPr>
      </c:pivotFmt>
      <c:pivotFmt>
        <c:idx val="10"/>
        <c:spPr>
          <a:solidFill>
            <a:srgbClr val="FF6600"/>
          </a:solidFill>
          <a:ln w="19050">
            <a:solidFill>
              <a:schemeClr val="lt1"/>
            </a:solidFill>
          </a:ln>
          <a:effectLst/>
        </c:spPr>
      </c:pivotFmt>
      <c:pivotFmt>
        <c:idx val="11"/>
        <c:spPr>
          <a:solidFill>
            <a:schemeClr val="bg1">
              <a:lumMod val="50000"/>
            </a:schemeClr>
          </a:solidFill>
          <a:ln w="19050">
            <a:solidFill>
              <a:schemeClr val="lt1"/>
            </a:solidFill>
          </a:ln>
          <a:effectLst/>
        </c:spPr>
      </c:pivotFmt>
    </c:pivotFmts>
    <c:plotArea>
      <c:layout/>
      <c:pieChart>
        <c:varyColors val="1"/>
        <c:ser>
          <c:idx val="0"/>
          <c:order val="0"/>
          <c:tx>
            <c:strRef>
              <c:f>Pivote!$K$3</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58AE-4BC9-8765-CD633C0C3AFC}"/>
              </c:ext>
            </c:extLst>
          </c:dPt>
          <c:dPt>
            <c:idx val="1"/>
            <c:bubble3D val="0"/>
            <c:spPr>
              <a:solidFill>
                <a:srgbClr val="FF6600"/>
              </a:solidFill>
              <a:ln w="19050">
                <a:solidFill>
                  <a:schemeClr val="lt1"/>
                </a:solidFill>
              </a:ln>
              <a:effectLst/>
            </c:spPr>
            <c:extLst>
              <c:ext xmlns:c16="http://schemas.microsoft.com/office/drawing/2014/chart" uri="{C3380CC4-5D6E-409C-BE32-E72D297353CC}">
                <c16:uniqueId val="{00000003-58AE-4BC9-8765-CD633C0C3AFC}"/>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58AE-4BC9-8765-CD633C0C3A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Pivote!$J$4:$J$6</c:f>
              <c:strCache>
                <c:ptCount val="3"/>
                <c:pt idx="0">
                  <c:v>Active</c:v>
                </c:pt>
                <c:pt idx="1">
                  <c:v>Idle</c:v>
                </c:pt>
                <c:pt idx="2">
                  <c:v>Under Maintenance</c:v>
                </c:pt>
              </c:strCache>
            </c:strRef>
          </c:cat>
          <c:val>
            <c:numRef>
              <c:f>Pivote!$K$4:$K$6</c:f>
              <c:numCache>
                <c:formatCode>0</c:formatCode>
                <c:ptCount val="3"/>
                <c:pt idx="0">
                  <c:v>322</c:v>
                </c:pt>
                <c:pt idx="1">
                  <c:v>365</c:v>
                </c:pt>
                <c:pt idx="2">
                  <c:v>313</c:v>
                </c:pt>
              </c:numCache>
            </c:numRef>
          </c:val>
          <c:extLst>
            <c:ext xmlns:c16="http://schemas.microsoft.com/office/drawing/2014/chart" uri="{C3380CC4-5D6E-409C-BE32-E72D297353CC}">
              <c16:uniqueId val="{00000006-58AE-4BC9-8765-CD633C0C3AF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[Industrial_Asset_Maintenance_Dataset.xlsx]Pivote!PivotTable4</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rgbClr val="0070C0"/>
          </a:solidFill>
          <a:ln w="19050">
            <a:solidFill>
              <a:schemeClr val="lt1"/>
            </a:solidFill>
          </a:ln>
          <a:effectLst/>
        </c:spPr>
      </c:pivotFmt>
      <c:pivotFmt>
        <c:idx val="10"/>
        <c:spPr>
          <a:solidFill>
            <a:srgbClr val="FF6600"/>
          </a:solidFill>
          <a:ln w="19050">
            <a:solidFill>
              <a:schemeClr val="lt1"/>
            </a:solidFill>
          </a:ln>
          <a:effectLst/>
        </c:spPr>
      </c:pivotFmt>
      <c:pivotFmt>
        <c:idx val="11"/>
        <c:spPr>
          <a:solidFill>
            <a:schemeClr val="bg1">
              <a:lumMod val="50000"/>
            </a:schemeClr>
          </a:solidFill>
          <a:ln w="19050">
            <a:solidFill>
              <a:schemeClr val="lt1"/>
            </a:solidFill>
          </a:ln>
          <a:effectLst/>
        </c:spPr>
      </c:pivotFmt>
    </c:pivotFmts>
    <c:plotArea>
      <c:layout/>
      <c:doughnutChart>
        <c:varyColors val="1"/>
        <c:ser>
          <c:idx val="0"/>
          <c:order val="0"/>
          <c:tx>
            <c:strRef>
              <c:f>Pivote!$O$3</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DE9A-4CAF-A330-775ADFE5F572}"/>
              </c:ext>
            </c:extLst>
          </c:dPt>
          <c:dPt>
            <c:idx val="1"/>
            <c:bubble3D val="0"/>
            <c:spPr>
              <a:solidFill>
                <a:srgbClr val="FF6600"/>
              </a:solidFill>
              <a:ln w="19050">
                <a:solidFill>
                  <a:schemeClr val="lt1"/>
                </a:solidFill>
              </a:ln>
              <a:effectLst/>
            </c:spPr>
            <c:extLst>
              <c:ext xmlns:c16="http://schemas.microsoft.com/office/drawing/2014/chart" uri="{C3380CC4-5D6E-409C-BE32-E72D297353CC}">
                <c16:uniqueId val="{00000003-DE9A-4CAF-A330-775ADFE5F572}"/>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DE9A-4CAF-A330-775ADFE5F5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Pivote!$N$4:$N$6</c:f>
              <c:strCache>
                <c:ptCount val="3"/>
                <c:pt idx="0">
                  <c:v>Preventive</c:v>
                </c:pt>
                <c:pt idx="1">
                  <c:v>Corrective</c:v>
                </c:pt>
                <c:pt idx="2">
                  <c:v>Predictive</c:v>
                </c:pt>
              </c:strCache>
            </c:strRef>
          </c:cat>
          <c:val>
            <c:numRef>
              <c:f>Pivote!$O$4:$O$6</c:f>
              <c:numCache>
                <c:formatCode>0</c:formatCode>
                <c:ptCount val="3"/>
                <c:pt idx="0">
                  <c:v>502</c:v>
                </c:pt>
                <c:pt idx="1">
                  <c:v>363</c:v>
                </c:pt>
                <c:pt idx="2">
                  <c:v>135</c:v>
                </c:pt>
              </c:numCache>
            </c:numRef>
          </c:val>
          <c:extLst>
            <c:ext xmlns:c16="http://schemas.microsoft.com/office/drawing/2014/chart" uri="{C3380CC4-5D6E-409C-BE32-E72D297353CC}">
              <c16:uniqueId val="{00000006-DE9A-4CAF-A330-775ADFE5F572}"/>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[Industrial_Asset_Maintenance_Dataset.xlsx]Pivote!PivotTable5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Pivote!$C$25</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Pivote!$B$26:$B$31</c:f>
              <c:strCache>
                <c:ptCount val="6"/>
                <c:pt idx="0">
                  <c:v>Ravi</c:v>
                </c:pt>
                <c:pt idx="1">
                  <c:v>Kumar</c:v>
                </c:pt>
                <c:pt idx="2">
                  <c:v>Anil</c:v>
                </c:pt>
                <c:pt idx="3">
                  <c:v>Meena</c:v>
                </c:pt>
                <c:pt idx="4">
                  <c:v>Priya</c:v>
                </c:pt>
                <c:pt idx="5">
                  <c:v>Rahul</c:v>
                </c:pt>
              </c:strCache>
            </c:strRef>
          </c:cat>
          <c:val>
            <c:numRef>
              <c:f>Pivote!$C$26:$C$31</c:f>
              <c:numCache>
                <c:formatCode>0</c:formatCode>
                <c:ptCount val="6"/>
                <c:pt idx="0">
                  <c:v>177</c:v>
                </c:pt>
                <c:pt idx="1">
                  <c:v>176</c:v>
                </c:pt>
                <c:pt idx="2">
                  <c:v>168</c:v>
                </c:pt>
                <c:pt idx="3">
                  <c:v>166</c:v>
                </c:pt>
                <c:pt idx="4">
                  <c:v>161</c:v>
                </c:pt>
                <c:pt idx="5">
                  <c:v>152</c:v>
                </c:pt>
              </c:numCache>
            </c:numRef>
          </c:val>
          <c:extLst>
            <c:ext xmlns:c16="http://schemas.microsoft.com/office/drawing/2014/chart" uri="{C3380CC4-5D6E-409C-BE32-E72D297353CC}">
              <c16:uniqueId val="{00000000-5FEB-4702-8113-88FE62500467}"/>
            </c:ext>
          </c:extLst>
        </c:ser>
        <c:dLbls>
          <c:showLegendKey val="0"/>
          <c:showVal val="0"/>
          <c:showCatName val="0"/>
          <c:showSerName val="0"/>
          <c:showPercent val="0"/>
          <c:showBubbleSize val="0"/>
        </c:dLbls>
        <c:gapWidth val="70"/>
        <c:overlap val="-30"/>
        <c:axId val="373600191"/>
        <c:axId val="373600671"/>
      </c:barChart>
      <c:catAx>
        <c:axId val="3736001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Technician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3600671"/>
        <c:crosses val="autoZero"/>
        <c:auto val="1"/>
        <c:lblAlgn val="ctr"/>
        <c:lblOffset val="100"/>
        <c:noMultiLvlLbl val="0"/>
      </c:catAx>
      <c:valAx>
        <c:axId val="373600671"/>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Work</a:t>
                </a:r>
                <a:r>
                  <a:rPr lang="en-IN" b="1" baseline="0">
                    <a:solidFill>
                      <a:schemeClr val="tx1"/>
                    </a:solidFill>
                  </a:rPr>
                  <a:t> Oreders</a:t>
                </a:r>
                <a:endParaRPr lang="en-IN" b="1">
                  <a:solidFill>
                    <a:schemeClr val="tx1"/>
                  </a:solidFill>
                </a:endParaRPr>
              </a:p>
            </c:rich>
          </c:tx>
          <c:overlay val="0"/>
          <c:spPr>
            <a:solidFill>
              <a:schemeClr val="bg1"/>
            </a:solid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360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[Industrial_Asset_Maintenance_Dataset.xlsx]Pivote!PivotTable6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Pivote!$G$25</c:f>
              <c:strCache>
                <c:ptCount val="1"/>
                <c:pt idx="0">
                  <c:v>Total</c:v>
                </c:pt>
              </c:strCache>
            </c:strRef>
          </c:tx>
          <c:spPr>
            <a:solidFill>
              <a:srgbClr val="CC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Pivote!$F$26:$F$30</c:f>
              <c:strCache>
                <c:ptCount val="5"/>
                <c:pt idx="0">
                  <c:v>Sensor Fault</c:v>
                </c:pt>
                <c:pt idx="1">
                  <c:v>Motor Failure</c:v>
                </c:pt>
                <c:pt idx="2">
                  <c:v>Bearing Failure</c:v>
                </c:pt>
                <c:pt idx="3">
                  <c:v>Overheating</c:v>
                </c:pt>
                <c:pt idx="4">
                  <c:v>Electrical Fault</c:v>
                </c:pt>
              </c:strCache>
            </c:strRef>
          </c:cat>
          <c:val>
            <c:numRef>
              <c:f>Pivote!$G$26:$G$30</c:f>
              <c:numCache>
                <c:formatCode>0</c:formatCode>
                <c:ptCount val="5"/>
                <c:pt idx="0">
                  <c:v>148</c:v>
                </c:pt>
                <c:pt idx="1">
                  <c:v>161</c:v>
                </c:pt>
                <c:pt idx="2">
                  <c:v>168</c:v>
                </c:pt>
                <c:pt idx="3">
                  <c:v>172</c:v>
                </c:pt>
                <c:pt idx="4">
                  <c:v>176</c:v>
                </c:pt>
              </c:numCache>
            </c:numRef>
          </c:val>
          <c:extLst>
            <c:ext xmlns:c16="http://schemas.microsoft.com/office/drawing/2014/chart" uri="{C3380CC4-5D6E-409C-BE32-E72D297353CC}">
              <c16:uniqueId val="{00000000-8F5C-42AE-8D00-86D2C13BE1D2}"/>
            </c:ext>
          </c:extLst>
        </c:ser>
        <c:dLbls>
          <c:dLblPos val="outEnd"/>
          <c:showLegendKey val="0"/>
          <c:showVal val="1"/>
          <c:showCatName val="0"/>
          <c:showSerName val="0"/>
          <c:showPercent val="0"/>
          <c:showBubbleSize val="0"/>
        </c:dLbls>
        <c:gapWidth val="80"/>
        <c:axId val="373616991"/>
        <c:axId val="373605471"/>
      </c:barChart>
      <c:catAx>
        <c:axId val="37361699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Failur</a:t>
                </a:r>
                <a:r>
                  <a:rPr lang="en-IN" b="1" baseline="0">
                    <a:solidFill>
                      <a:schemeClr val="tx1"/>
                    </a:solidFill>
                  </a:rPr>
                  <a:t> Type</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3605471"/>
        <c:crosses val="autoZero"/>
        <c:auto val="1"/>
        <c:lblAlgn val="ctr"/>
        <c:lblOffset val="100"/>
        <c:noMultiLvlLbl val="0"/>
      </c:catAx>
      <c:valAx>
        <c:axId val="37360547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Failure Count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361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[Industrial_Asset_Maintenance_Dataset.xlsx]Pivote!PivotTable7</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col"/>
        <c:grouping val="clustered"/>
        <c:varyColors val="0"/>
        <c:ser>
          <c:idx val="0"/>
          <c:order val="0"/>
          <c:tx>
            <c:strRef>
              <c:f>Pivote!$K$25</c:f>
              <c:strCache>
                <c:ptCount val="1"/>
                <c:pt idx="0">
                  <c:v>Total</c:v>
                </c:pt>
              </c:strCache>
            </c:strRef>
          </c:tx>
          <c:spPr>
            <a:solidFill>
              <a:srgbClr val="00808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Pivote!$J$26:$J$30</c:f>
              <c:strCache>
                <c:ptCount val="5"/>
                <c:pt idx="0">
                  <c:v>Quality</c:v>
                </c:pt>
                <c:pt idx="1">
                  <c:v>Packaging</c:v>
                </c:pt>
                <c:pt idx="2">
                  <c:v>Utilities</c:v>
                </c:pt>
                <c:pt idx="3">
                  <c:v>Assembly</c:v>
                </c:pt>
                <c:pt idx="4">
                  <c:v>Production</c:v>
                </c:pt>
              </c:strCache>
            </c:strRef>
          </c:cat>
          <c:val>
            <c:numRef>
              <c:f>Pivote!$K$26:$K$30</c:f>
              <c:numCache>
                <c:formatCode>[$₹-4009]\ #,##0</c:formatCode>
                <c:ptCount val="5"/>
                <c:pt idx="0">
                  <c:v>5100031</c:v>
                </c:pt>
                <c:pt idx="1">
                  <c:v>5024638</c:v>
                </c:pt>
                <c:pt idx="2">
                  <c:v>4796910</c:v>
                </c:pt>
                <c:pt idx="3">
                  <c:v>4340606</c:v>
                </c:pt>
                <c:pt idx="4">
                  <c:v>4323346</c:v>
                </c:pt>
              </c:numCache>
            </c:numRef>
          </c:val>
          <c:extLst>
            <c:ext xmlns:c16="http://schemas.microsoft.com/office/drawing/2014/chart" uri="{C3380CC4-5D6E-409C-BE32-E72D297353CC}">
              <c16:uniqueId val="{00000000-5C17-4C49-A0DC-4F515A1AF65F}"/>
            </c:ext>
          </c:extLst>
        </c:ser>
        <c:dLbls>
          <c:dLblPos val="outEnd"/>
          <c:showLegendKey val="0"/>
          <c:showVal val="1"/>
          <c:showCatName val="0"/>
          <c:showSerName val="0"/>
          <c:showPercent val="0"/>
          <c:showBubbleSize val="0"/>
        </c:dLbls>
        <c:gapWidth val="90"/>
        <c:axId val="373634751"/>
        <c:axId val="373628031"/>
      </c:barChart>
      <c:catAx>
        <c:axId val="373634751"/>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Department</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3628031"/>
        <c:crosses val="autoZero"/>
        <c:auto val="1"/>
        <c:lblAlgn val="ctr"/>
        <c:lblOffset val="100"/>
        <c:noMultiLvlLbl val="0"/>
      </c:catAx>
      <c:valAx>
        <c:axId val="37362803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Maintenance</a:t>
                </a:r>
                <a:r>
                  <a:rPr lang="en-IN" b="1" baseline="0">
                    <a:solidFill>
                      <a:schemeClr val="tx1"/>
                    </a:solidFill>
                  </a:rPr>
                  <a:t> Cost</a:t>
                </a:r>
                <a:r>
                  <a:rPr lang="en-US" sz="800" b="1" i="0" u="none" strike="noStrike" kern="1200" baseline="0">
                    <a:solidFill>
                      <a:schemeClr val="tx1"/>
                    </a:solidFill>
                  </a:rPr>
                  <a:t> (</a:t>
                </a:r>
                <a:r>
                  <a:rPr lang="en-IN" sz="800" b="0" i="0" u="none" strike="noStrike" kern="1200" baseline="0">
                    <a:solidFill>
                      <a:sysClr val="windowText" lastClr="000000"/>
                    </a:solidFill>
                    <a:effectLst/>
                  </a:rPr>
                  <a:t>₹</a:t>
                </a:r>
                <a:r>
                  <a:rPr lang="en-US" sz="800" b="1" i="0" u="none" strike="noStrike" kern="1200" baseline="0">
                    <a:solidFill>
                      <a:schemeClr val="tx1"/>
                    </a:solidFill>
                    <a:effectLst/>
                  </a:rPr>
                  <a:t>)</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IN"/>
            </a:p>
          </c:txPr>
        </c:title>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363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[Industrial_Asset_Maintenance_Dataset.xlsx]Pivote!PivotTable8</c:name>
    <c:fmtId val="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rgbClr val="0033CC"/>
            </a:solidFill>
            <a:round/>
          </a:ln>
          <a:effectLst/>
        </c:spPr>
        <c:marker>
          <c:symbol val="circle"/>
          <c:size val="6"/>
          <c:spPr>
            <a:solidFill>
              <a:srgbClr val="0033CC"/>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Pivote!$O$22</c:f>
              <c:strCache>
                <c:ptCount val="1"/>
                <c:pt idx="0">
                  <c:v>Total</c:v>
                </c:pt>
              </c:strCache>
            </c:strRef>
          </c:tx>
          <c:spPr>
            <a:ln w="25400" cap="rnd">
              <a:solidFill>
                <a:srgbClr val="0033CC"/>
              </a:solidFill>
              <a:round/>
            </a:ln>
            <a:effectLst/>
          </c:spPr>
          <c:marker>
            <c:symbol val="circle"/>
            <c:size val="6"/>
            <c:spPr>
              <a:solidFill>
                <a:srgbClr val="0033CC"/>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Pivote!$N$23:$N$34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Pivote!$O$23:$O$34</c:f>
              <c:numCache>
                <c:formatCode>0</c:formatCode>
                <c:ptCount val="12"/>
                <c:pt idx="0">
                  <c:v>91</c:v>
                </c:pt>
                <c:pt idx="1">
                  <c:v>95</c:v>
                </c:pt>
                <c:pt idx="2">
                  <c:v>86</c:v>
                </c:pt>
                <c:pt idx="3">
                  <c:v>90</c:v>
                </c:pt>
                <c:pt idx="4">
                  <c:v>64</c:v>
                </c:pt>
                <c:pt idx="5">
                  <c:v>96</c:v>
                </c:pt>
                <c:pt idx="6">
                  <c:v>88</c:v>
                </c:pt>
                <c:pt idx="7">
                  <c:v>70</c:v>
                </c:pt>
                <c:pt idx="8">
                  <c:v>77</c:v>
                </c:pt>
                <c:pt idx="9">
                  <c:v>84</c:v>
                </c:pt>
                <c:pt idx="10">
                  <c:v>76</c:v>
                </c:pt>
                <c:pt idx="11">
                  <c:v>83</c:v>
                </c:pt>
              </c:numCache>
            </c:numRef>
          </c:val>
          <c:smooth val="0"/>
          <c:extLst>
            <c:ext xmlns:c16="http://schemas.microsoft.com/office/drawing/2014/chart" uri="{C3380CC4-5D6E-409C-BE32-E72D297353CC}">
              <c16:uniqueId val="{00000000-6A61-4B87-B77A-8B2DF3CA4490}"/>
            </c:ext>
          </c:extLst>
        </c:ser>
        <c:dLbls>
          <c:dLblPos val="t"/>
          <c:showLegendKey val="0"/>
          <c:showVal val="1"/>
          <c:showCatName val="0"/>
          <c:showSerName val="0"/>
          <c:showPercent val="0"/>
          <c:showBubbleSize val="0"/>
        </c:dLbls>
        <c:marker val="1"/>
        <c:smooth val="0"/>
        <c:axId val="437172607"/>
        <c:axId val="437189887"/>
      </c:lineChart>
      <c:catAx>
        <c:axId val="43717260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Asset</a:t>
                </a:r>
                <a:r>
                  <a:rPr lang="en-IN" b="1" baseline="0">
                    <a:solidFill>
                      <a:schemeClr val="tx1"/>
                    </a:solidFill>
                  </a:rPr>
                  <a:t> Age (Years)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37189887"/>
        <c:crosses val="autoZero"/>
        <c:auto val="1"/>
        <c:lblAlgn val="ctr"/>
        <c:lblOffset val="100"/>
        <c:noMultiLvlLbl val="0"/>
      </c:catAx>
      <c:valAx>
        <c:axId val="437189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baseline="0">
                    <a:solidFill>
                      <a:schemeClr val="tx1"/>
                    </a:solidFill>
                  </a:rPr>
                  <a:t>Number of Assets</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3717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1.xml"/><Relationship Id="rId18" Type="http://schemas.openxmlformats.org/officeDocument/2006/relationships/chart" Target="../charts/chart16.xml"/><Relationship Id="rId3" Type="http://schemas.openxmlformats.org/officeDocument/2006/relationships/image" Target="../media/image3.png"/><Relationship Id="rId21" Type="http://schemas.openxmlformats.org/officeDocument/2006/relationships/image" Target="../media/image13.png"/><Relationship Id="rId7" Type="http://schemas.openxmlformats.org/officeDocument/2006/relationships/image" Target="../media/image7.png"/><Relationship Id="rId12" Type="http://schemas.openxmlformats.org/officeDocument/2006/relationships/chart" Target="../charts/chart10.xml"/><Relationship Id="rId17" Type="http://schemas.openxmlformats.org/officeDocument/2006/relationships/chart" Target="../charts/chart15.xml"/><Relationship Id="rId25"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chart" Target="../charts/chart14.xml"/><Relationship Id="rId20"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9.xml"/><Relationship Id="rId24" Type="http://schemas.openxmlformats.org/officeDocument/2006/relationships/image" Target="../media/image16.png"/><Relationship Id="rId5" Type="http://schemas.openxmlformats.org/officeDocument/2006/relationships/image" Target="../media/image5.png"/><Relationship Id="rId15" Type="http://schemas.openxmlformats.org/officeDocument/2006/relationships/chart" Target="../charts/chart13.xml"/><Relationship Id="rId23"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12.xml"/><Relationship Id="rId22"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95250</xdr:rowOff>
    </xdr:from>
    <xdr:to>
      <xdr:col>3</xdr:col>
      <xdr:colOff>335280</xdr:colOff>
      <xdr:row>22</xdr:row>
      <xdr:rowOff>167640</xdr:rowOff>
    </xdr:to>
    <xdr:graphicFrame macro="">
      <xdr:nvGraphicFramePr>
        <xdr:cNvPr id="2" name="Chart 1">
          <a:extLst>
            <a:ext uri="{FF2B5EF4-FFF2-40B4-BE49-F238E27FC236}">
              <a16:creationId xmlns:a16="http://schemas.microsoft.com/office/drawing/2014/main" id="{2DD45B9A-D38F-191B-F653-9B4885D7E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502920</xdr:colOff>
      <xdr:row>11</xdr:row>
      <xdr:rowOff>72390</xdr:rowOff>
    </xdr:from>
    <xdr:to>
      <xdr:col>7</xdr:col>
      <xdr:colOff>281940</xdr:colOff>
      <xdr:row>23</xdr:row>
      <xdr:rowOff>30480</xdr:rowOff>
    </xdr:to>
    <xdr:graphicFrame macro="">
      <xdr:nvGraphicFramePr>
        <xdr:cNvPr id="3" name="Chart 2">
          <a:extLst>
            <a:ext uri="{FF2B5EF4-FFF2-40B4-BE49-F238E27FC236}">
              <a16:creationId xmlns:a16="http://schemas.microsoft.com/office/drawing/2014/main" id="{CB01827A-CE95-B3FC-7399-9826D5E4D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441960</xdr:colOff>
      <xdr:row>9</xdr:row>
      <xdr:rowOff>80010</xdr:rowOff>
    </xdr:from>
    <xdr:to>
      <xdr:col>11</xdr:col>
      <xdr:colOff>220980</xdr:colOff>
      <xdr:row>22</xdr:row>
      <xdr:rowOff>91440</xdr:rowOff>
    </xdr:to>
    <xdr:graphicFrame macro="">
      <xdr:nvGraphicFramePr>
        <xdr:cNvPr id="4" name="Chart 3">
          <a:extLst>
            <a:ext uri="{FF2B5EF4-FFF2-40B4-BE49-F238E27FC236}">
              <a16:creationId xmlns:a16="http://schemas.microsoft.com/office/drawing/2014/main" id="{75669CF0-843E-0F54-ED2E-EF04D4B3C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497276</xdr:colOff>
      <xdr:row>7</xdr:row>
      <xdr:rowOff>134197</xdr:rowOff>
    </xdr:from>
    <xdr:to>
      <xdr:col>15</xdr:col>
      <xdr:colOff>482036</xdr:colOff>
      <xdr:row>20</xdr:row>
      <xdr:rowOff>84667</xdr:rowOff>
    </xdr:to>
    <xdr:graphicFrame macro="">
      <xdr:nvGraphicFramePr>
        <xdr:cNvPr id="5" name="Chart 4">
          <a:extLst>
            <a:ext uri="{FF2B5EF4-FFF2-40B4-BE49-F238E27FC236}">
              <a16:creationId xmlns:a16="http://schemas.microsoft.com/office/drawing/2014/main" id="{597E1449-BF44-5020-F936-404B2FB07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72390</xdr:rowOff>
    </xdr:from>
    <xdr:to>
      <xdr:col>3</xdr:col>
      <xdr:colOff>396240</xdr:colOff>
      <xdr:row>46</xdr:row>
      <xdr:rowOff>76200</xdr:rowOff>
    </xdr:to>
    <xdr:graphicFrame macro="">
      <xdr:nvGraphicFramePr>
        <xdr:cNvPr id="6" name="Chart 5">
          <a:extLst>
            <a:ext uri="{FF2B5EF4-FFF2-40B4-BE49-F238E27FC236}">
              <a16:creationId xmlns:a16="http://schemas.microsoft.com/office/drawing/2014/main" id="{A474BA38-A39E-3104-513B-4CDF540C5C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495300</xdr:colOff>
      <xdr:row>32</xdr:row>
      <xdr:rowOff>57150</xdr:rowOff>
    </xdr:from>
    <xdr:to>
      <xdr:col>7</xdr:col>
      <xdr:colOff>312420</xdr:colOff>
      <xdr:row>46</xdr:row>
      <xdr:rowOff>137160</xdr:rowOff>
    </xdr:to>
    <xdr:graphicFrame macro="">
      <xdr:nvGraphicFramePr>
        <xdr:cNvPr id="7" name="Chart 6">
          <a:extLst>
            <a:ext uri="{FF2B5EF4-FFF2-40B4-BE49-F238E27FC236}">
              <a16:creationId xmlns:a16="http://schemas.microsoft.com/office/drawing/2014/main" id="{12AADBE4-006A-D68F-A537-A1AAC79E2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381000</xdr:colOff>
      <xdr:row>31</xdr:row>
      <xdr:rowOff>125730</xdr:rowOff>
    </xdr:from>
    <xdr:to>
      <xdr:col>11</xdr:col>
      <xdr:colOff>426720</xdr:colOff>
      <xdr:row>46</xdr:row>
      <xdr:rowOff>125730</xdr:rowOff>
    </xdr:to>
    <xdr:graphicFrame macro="">
      <xdr:nvGraphicFramePr>
        <xdr:cNvPr id="8" name="Chart 7">
          <a:extLst>
            <a:ext uri="{FF2B5EF4-FFF2-40B4-BE49-F238E27FC236}">
              <a16:creationId xmlns:a16="http://schemas.microsoft.com/office/drawing/2014/main" id="{53F586FC-0486-6CAC-36AB-8FF599950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22578</xdr:colOff>
      <xdr:row>35</xdr:row>
      <xdr:rowOff>26670</xdr:rowOff>
    </xdr:from>
    <xdr:to>
      <xdr:col>15</xdr:col>
      <xdr:colOff>423333</xdr:colOff>
      <xdr:row>47</xdr:row>
      <xdr:rowOff>35719</xdr:rowOff>
    </xdr:to>
    <xdr:graphicFrame macro="">
      <xdr:nvGraphicFramePr>
        <xdr:cNvPr id="9" name="Chart 8">
          <a:extLst>
            <a:ext uri="{FF2B5EF4-FFF2-40B4-BE49-F238E27FC236}">
              <a16:creationId xmlns:a16="http://schemas.microsoft.com/office/drawing/2014/main" id="{872EA11E-2C72-63EB-7EAB-DAE060F78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22</xdr:col>
      <xdr:colOff>313157</xdr:colOff>
      <xdr:row>17</xdr:row>
      <xdr:rowOff>17944</xdr:rowOff>
    </xdr:from>
    <xdr:to>
      <xdr:col>25</xdr:col>
      <xdr:colOff>298409</xdr:colOff>
      <xdr:row>30</xdr:row>
      <xdr:rowOff>88306</xdr:rowOff>
    </xdr:to>
    <mc:AlternateContent xmlns:mc="http://schemas.openxmlformats.org/markup-compatibility/2006" xmlns:a14="http://schemas.microsoft.com/office/drawing/2010/main">
      <mc:Choice Requires="a14">
        <xdr:graphicFrame macro="">
          <xdr:nvGraphicFramePr>
            <xdr:cNvPr id="10" name="Plant">
              <a:extLst>
                <a:ext uri="{FF2B5EF4-FFF2-40B4-BE49-F238E27FC236}">
                  <a16:creationId xmlns:a16="http://schemas.microsoft.com/office/drawing/2014/main" id="{201082A1-00B8-7AA7-163B-500D908BC042}"/>
                </a:ext>
              </a:extLst>
            </xdr:cNvPr>
            <xdr:cNvGraphicFramePr/>
          </xdr:nvGraphicFramePr>
          <xdr:xfrm>
            <a:off x="0" y="0"/>
            <a:ext cx="0" cy="0"/>
          </xdr:xfrm>
          <a:graphic>
            <a:graphicData uri="http://schemas.microsoft.com/office/drawing/2010/slicer">
              <sle:slicer xmlns:sle="http://schemas.microsoft.com/office/drawing/2010/slicer" name="Plant"/>
            </a:graphicData>
          </a:graphic>
        </xdr:graphicFrame>
      </mc:Choice>
      <mc:Fallback xmlns="">
        <xdr:sp macro="" textlink="">
          <xdr:nvSpPr>
            <xdr:cNvPr id="0" name=""/>
            <xdr:cNvSpPr>
              <a:spLocks noTextEdit="1"/>
            </xdr:cNvSpPr>
          </xdr:nvSpPr>
          <xdr:spPr>
            <a:xfrm>
              <a:off x="17157368" y="3154176"/>
              <a:ext cx="1814052" cy="2468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571992</xdr:colOff>
      <xdr:row>17</xdr:row>
      <xdr:rowOff>92424</xdr:rowOff>
    </xdr:from>
    <xdr:to>
      <xdr:col>21</xdr:col>
      <xdr:colOff>557244</xdr:colOff>
      <xdr:row>30</xdr:row>
      <xdr:rowOff>162786</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1931E8B8-0BF0-1BE5-0E69-27AAA1F23DF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977803" y="3228656"/>
              <a:ext cx="1814052" cy="2468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449826</xdr:colOff>
      <xdr:row>2</xdr:row>
      <xdr:rowOff>43999</xdr:rowOff>
    </xdr:from>
    <xdr:to>
      <xdr:col>25</xdr:col>
      <xdr:colOff>435078</xdr:colOff>
      <xdr:row>15</xdr:row>
      <xdr:rowOff>114361</xdr:rowOff>
    </xdr:to>
    <mc:AlternateContent xmlns:mc="http://schemas.openxmlformats.org/markup-compatibility/2006" xmlns:a14="http://schemas.microsoft.com/office/drawing/2010/main">
      <mc:Choice Requires="a14">
        <xdr:graphicFrame macro="">
          <xdr:nvGraphicFramePr>
            <xdr:cNvPr id="12" name="Machine_Type">
              <a:extLst>
                <a:ext uri="{FF2B5EF4-FFF2-40B4-BE49-F238E27FC236}">
                  <a16:creationId xmlns:a16="http://schemas.microsoft.com/office/drawing/2014/main" id="{13FA3E89-241A-2F3D-1939-5427688CE39A}"/>
                </a:ext>
              </a:extLst>
            </xdr:cNvPr>
            <xdr:cNvGraphicFramePr/>
          </xdr:nvGraphicFramePr>
          <xdr:xfrm>
            <a:off x="0" y="0"/>
            <a:ext cx="0" cy="0"/>
          </xdr:xfrm>
          <a:graphic>
            <a:graphicData uri="http://schemas.microsoft.com/office/drawing/2010/slicer">
              <sle:slicer xmlns:sle="http://schemas.microsoft.com/office/drawing/2010/slicer" name="Machine_Type"/>
            </a:graphicData>
          </a:graphic>
        </xdr:graphicFrame>
      </mc:Choice>
      <mc:Fallback xmlns="">
        <xdr:sp macro="" textlink="">
          <xdr:nvSpPr>
            <xdr:cNvPr id="0" name=""/>
            <xdr:cNvSpPr>
              <a:spLocks noTextEdit="1"/>
            </xdr:cNvSpPr>
          </xdr:nvSpPr>
          <xdr:spPr>
            <a:xfrm>
              <a:off x="17294037" y="412967"/>
              <a:ext cx="1814052" cy="2468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573467</xdr:colOff>
      <xdr:row>2</xdr:row>
      <xdr:rowOff>44737</xdr:rowOff>
    </xdr:from>
    <xdr:to>
      <xdr:col>21</xdr:col>
      <xdr:colOff>558719</xdr:colOff>
      <xdr:row>15</xdr:row>
      <xdr:rowOff>115099</xdr:rowOff>
    </xdr:to>
    <mc:AlternateContent xmlns:mc="http://schemas.openxmlformats.org/markup-compatibility/2006" xmlns:a14="http://schemas.microsoft.com/office/drawing/2010/main">
      <mc:Choice Requires="a14">
        <xdr:graphicFrame macro="">
          <xdr:nvGraphicFramePr>
            <xdr:cNvPr id="13" name="Maintenance_Type">
              <a:extLst>
                <a:ext uri="{FF2B5EF4-FFF2-40B4-BE49-F238E27FC236}">
                  <a16:creationId xmlns:a16="http://schemas.microsoft.com/office/drawing/2014/main" id="{A235D25B-AB8D-7B3A-B472-01C66FF93DDC}"/>
                </a:ext>
              </a:extLst>
            </xdr:cNvPr>
            <xdr:cNvGraphicFramePr/>
          </xdr:nvGraphicFramePr>
          <xdr:xfrm>
            <a:off x="0" y="0"/>
            <a:ext cx="0" cy="0"/>
          </xdr:xfrm>
          <a:graphic>
            <a:graphicData uri="http://schemas.microsoft.com/office/drawing/2010/slicer">
              <sle:slicer xmlns:sle="http://schemas.microsoft.com/office/drawing/2010/slicer" name="Maintenance_Type"/>
            </a:graphicData>
          </a:graphic>
        </xdr:graphicFrame>
      </mc:Choice>
      <mc:Fallback xmlns="">
        <xdr:sp macro="" textlink="">
          <xdr:nvSpPr>
            <xdr:cNvPr id="0" name=""/>
            <xdr:cNvSpPr>
              <a:spLocks noTextEdit="1"/>
            </xdr:cNvSpPr>
          </xdr:nvSpPr>
          <xdr:spPr>
            <a:xfrm>
              <a:off x="14979278" y="413705"/>
              <a:ext cx="1814052" cy="2468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442351</xdr:colOff>
      <xdr:row>0</xdr:row>
      <xdr:rowOff>124928</xdr:rowOff>
    </xdr:from>
    <xdr:to>
      <xdr:col>25</xdr:col>
      <xdr:colOff>386927</xdr:colOff>
      <xdr:row>58</xdr:row>
      <xdr:rowOff>77742</xdr:rowOff>
    </xdr:to>
    <xdr:sp macro="" textlink="">
      <xdr:nvSpPr>
        <xdr:cNvPr id="29" name="Rectangle 28">
          <a:extLst>
            <a:ext uri="{FF2B5EF4-FFF2-40B4-BE49-F238E27FC236}">
              <a16:creationId xmlns:a16="http://schemas.microsoft.com/office/drawing/2014/main" id="{E4054B44-CF50-D161-0B1F-5FCC6171BE7D}"/>
            </a:ext>
          </a:extLst>
        </xdr:cNvPr>
        <xdr:cNvSpPr/>
      </xdr:nvSpPr>
      <xdr:spPr>
        <a:xfrm>
          <a:off x="442351" y="124928"/>
          <a:ext cx="15120000" cy="10440000"/>
        </a:xfrm>
        <a:prstGeom prst="rect">
          <a:avLst/>
        </a:prstGeom>
        <a:solidFill>
          <a:schemeClr val="accent5">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xdr:row>
      <xdr:rowOff>98702</xdr:rowOff>
    </xdr:from>
    <xdr:to>
      <xdr:col>25</xdr:col>
      <xdr:colOff>190500</xdr:colOff>
      <xdr:row>5</xdr:row>
      <xdr:rowOff>29525</xdr:rowOff>
    </xdr:to>
    <xdr:sp macro="" textlink="">
      <xdr:nvSpPr>
        <xdr:cNvPr id="3" name="Rectangle 2">
          <a:extLst>
            <a:ext uri="{FF2B5EF4-FFF2-40B4-BE49-F238E27FC236}">
              <a16:creationId xmlns:a16="http://schemas.microsoft.com/office/drawing/2014/main" id="{0CA8F0FE-D226-975F-AB66-2268EDF8D4D2}"/>
            </a:ext>
          </a:extLst>
        </xdr:cNvPr>
        <xdr:cNvSpPr/>
      </xdr:nvSpPr>
      <xdr:spPr>
        <a:xfrm>
          <a:off x="612588" y="277996"/>
          <a:ext cx="14892618" cy="648000"/>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Black" panose="020B0A02040204020203" pitchFamily="34" charset="0"/>
              <a:ea typeface="Segoe UI Black" panose="020B0A02040204020203" pitchFamily="34" charset="0"/>
            </a:rPr>
            <a:t>INDUSTRIAL</a:t>
          </a:r>
          <a:r>
            <a:rPr lang="en-IN" sz="2000" b="1" baseline="0">
              <a:latin typeface="Segoe UI Black" panose="020B0A02040204020203" pitchFamily="34" charset="0"/>
              <a:ea typeface="Segoe UI Black" panose="020B0A02040204020203" pitchFamily="34" charset="0"/>
            </a:rPr>
            <a:t> ASSET MAINTENANCE ANALYTICS DASHBOARD</a:t>
          </a:r>
        </a:p>
        <a:p>
          <a:pPr algn="ctr"/>
          <a:r>
            <a:rPr lang="en-IN" sz="1100" b="1" i="1" baseline="0">
              <a:latin typeface="Segoe UI" panose="020B0502040204020203" pitchFamily="34" charset="0"/>
              <a:ea typeface="Segoe UI Black" panose="020B0A02040204020203" pitchFamily="34" charset="0"/>
              <a:cs typeface="Segoe UI" panose="020B0502040204020203" pitchFamily="34" charset="0"/>
            </a:rPr>
            <a:t>Overview of Asset Performance, Maintenance Cost &amp; Downtime</a:t>
          </a:r>
          <a:endParaRPr lang="en-IN" sz="1100" b="1" i="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3</xdr:col>
      <xdr:colOff>377559</xdr:colOff>
      <xdr:row>6</xdr:row>
      <xdr:rowOff>9944</xdr:rowOff>
    </xdr:from>
    <xdr:to>
      <xdr:col>8</xdr:col>
      <xdr:colOff>538106</xdr:colOff>
      <xdr:row>10</xdr:row>
      <xdr:rowOff>26559</xdr:rowOff>
    </xdr:to>
    <xdr:grpSp>
      <xdr:nvGrpSpPr>
        <xdr:cNvPr id="26" name="Group 25">
          <a:extLst>
            <a:ext uri="{FF2B5EF4-FFF2-40B4-BE49-F238E27FC236}">
              <a16:creationId xmlns:a16="http://schemas.microsoft.com/office/drawing/2014/main" id="{1611079E-D930-99F7-FEAF-991E2FB32EC8}"/>
            </a:ext>
          </a:extLst>
        </xdr:cNvPr>
        <xdr:cNvGrpSpPr/>
      </xdr:nvGrpSpPr>
      <xdr:grpSpPr>
        <a:xfrm>
          <a:off x="2206359" y="1090599"/>
          <a:ext cx="3208547" cy="737051"/>
          <a:chOff x="2198610" y="1094825"/>
          <a:chExt cx="3195632" cy="739870"/>
        </a:xfrm>
      </xdr:grpSpPr>
      <xdr:sp macro="" textlink="">
        <xdr:nvSpPr>
          <xdr:cNvPr id="5" name="Rectangle: Rounded Corners 4">
            <a:extLst>
              <a:ext uri="{FF2B5EF4-FFF2-40B4-BE49-F238E27FC236}">
                <a16:creationId xmlns:a16="http://schemas.microsoft.com/office/drawing/2014/main" id="{DE680BE5-5E88-8751-ECBD-BF639A404FEA}"/>
              </a:ext>
            </a:extLst>
          </xdr:cNvPr>
          <xdr:cNvSpPr/>
        </xdr:nvSpPr>
        <xdr:spPr>
          <a:xfrm>
            <a:off x="2198610" y="1094825"/>
            <a:ext cx="3195632" cy="739870"/>
          </a:xfrm>
          <a:prstGeom prst="roundRect">
            <a:avLst>
              <a:gd name="adj" fmla="val 8070"/>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ctr"/>
            <a:r>
              <a:rPr lang="en-IN" sz="1100" b="1">
                <a:solidFill>
                  <a:schemeClr val="tx1"/>
                </a:solidFill>
                <a:latin typeface="Segoe UI" panose="020B0502040204020203" pitchFamily="34" charset="0"/>
                <a:ea typeface="Segoe UI Black" panose="020B0A02040204020203" pitchFamily="34" charset="0"/>
                <a:cs typeface="Segoe UI" panose="020B0502040204020203" pitchFamily="34" charset="0"/>
              </a:rPr>
              <a:t>Total Assets</a:t>
            </a:r>
          </a:p>
        </xdr:txBody>
      </xdr:sp>
      <xdr:sp macro="" textlink="'Data &amp; KPI''s'!T3">
        <xdr:nvSpPr>
          <xdr:cNvPr id="15" name="TextBox 14">
            <a:extLst>
              <a:ext uri="{FF2B5EF4-FFF2-40B4-BE49-F238E27FC236}">
                <a16:creationId xmlns:a16="http://schemas.microsoft.com/office/drawing/2014/main" id="{60A790E5-6ABD-2A98-7B2C-E444C22D7A56}"/>
              </a:ext>
            </a:extLst>
          </xdr:cNvPr>
          <xdr:cNvSpPr txBox="1"/>
        </xdr:nvSpPr>
        <xdr:spPr>
          <a:xfrm>
            <a:off x="3572443" y="1271985"/>
            <a:ext cx="88806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63C8806-2CF3-4806-AE8F-61BB4B638C19}" type="TxLink">
              <a:rPr lang="en-US" sz="2400" b="1" i="0" u="none" strike="noStrike">
                <a:solidFill>
                  <a:srgbClr val="0033CC"/>
                </a:solidFill>
                <a:latin typeface="Calibri"/>
                <a:ea typeface="Calibri"/>
                <a:cs typeface="Calibri"/>
              </a:rPr>
              <a:pPr algn="ctr"/>
              <a:t>1,000</a:t>
            </a:fld>
            <a:endParaRPr lang="en-IN" sz="2400" b="1">
              <a:solidFill>
                <a:srgbClr val="0033CC"/>
              </a:solidFill>
            </a:endParaRPr>
          </a:p>
        </xdr:txBody>
      </xdr:sp>
      <xdr:pic>
        <xdr:nvPicPr>
          <xdr:cNvPr id="36" name="Picture 35">
            <a:extLst>
              <a:ext uri="{FF2B5EF4-FFF2-40B4-BE49-F238E27FC236}">
                <a16:creationId xmlns:a16="http://schemas.microsoft.com/office/drawing/2014/main" id="{8FC00B30-B2DD-908A-A643-0AB779DDA5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3689" y="1123431"/>
            <a:ext cx="677565" cy="686385"/>
          </a:xfrm>
          <a:prstGeom prst="rect">
            <a:avLst/>
          </a:prstGeom>
        </xdr:spPr>
      </xdr:pic>
    </xdr:grpSp>
    <xdr:clientData/>
  </xdr:twoCellAnchor>
  <xdr:twoCellAnchor>
    <xdr:from>
      <xdr:col>9</xdr:col>
      <xdr:colOff>19399</xdr:colOff>
      <xdr:row>6</xdr:row>
      <xdr:rowOff>9289</xdr:rowOff>
    </xdr:from>
    <xdr:to>
      <xdr:col>14</xdr:col>
      <xdr:colOff>180162</xdr:colOff>
      <xdr:row>10</xdr:row>
      <xdr:rowOff>25904</xdr:rowOff>
    </xdr:to>
    <xdr:grpSp>
      <xdr:nvGrpSpPr>
        <xdr:cNvPr id="35" name="Group 34">
          <a:extLst>
            <a:ext uri="{FF2B5EF4-FFF2-40B4-BE49-F238E27FC236}">
              <a16:creationId xmlns:a16="http://schemas.microsoft.com/office/drawing/2014/main" id="{E0AE9F1A-1D0E-E10E-2064-55F4E795A685}"/>
            </a:ext>
          </a:extLst>
        </xdr:cNvPr>
        <xdr:cNvGrpSpPr/>
      </xdr:nvGrpSpPr>
      <xdr:grpSpPr>
        <a:xfrm>
          <a:off x="5505799" y="1089944"/>
          <a:ext cx="3208763" cy="737051"/>
          <a:chOff x="5465458" y="1085054"/>
          <a:chExt cx="3186351" cy="733791"/>
        </a:xfrm>
      </xdr:grpSpPr>
      <xdr:sp macro="" textlink="">
        <xdr:nvSpPr>
          <xdr:cNvPr id="16" name="Rectangle: Rounded Corners 15">
            <a:extLst>
              <a:ext uri="{FF2B5EF4-FFF2-40B4-BE49-F238E27FC236}">
                <a16:creationId xmlns:a16="http://schemas.microsoft.com/office/drawing/2014/main" id="{B451B7DF-217F-8832-4D2F-7EC449D75C5C}"/>
              </a:ext>
            </a:extLst>
          </xdr:cNvPr>
          <xdr:cNvSpPr/>
        </xdr:nvSpPr>
        <xdr:spPr>
          <a:xfrm>
            <a:off x="5465458" y="1085054"/>
            <a:ext cx="3186351" cy="733791"/>
          </a:xfrm>
          <a:prstGeom prst="roundRect">
            <a:avLst>
              <a:gd name="adj" fmla="val 8070"/>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ctr"/>
            <a:r>
              <a:rPr lang="en-IN" sz="1100" b="1">
                <a:solidFill>
                  <a:schemeClr val="tx1"/>
                </a:solidFill>
                <a:latin typeface="Segoe UI" panose="020B0502040204020203" pitchFamily="34" charset="0"/>
                <a:ea typeface="Segoe UI Black" panose="020B0A02040204020203" pitchFamily="34" charset="0"/>
                <a:cs typeface="Segoe UI" panose="020B0502040204020203" pitchFamily="34" charset="0"/>
              </a:rPr>
              <a:t>Active</a:t>
            </a:r>
            <a:r>
              <a:rPr lang="en-IN" sz="11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 </a:t>
            </a:r>
            <a:r>
              <a:rPr lang="en-IN" sz="1100" b="1">
                <a:solidFill>
                  <a:schemeClr val="tx1"/>
                </a:solidFill>
                <a:latin typeface="Segoe UI" panose="020B0502040204020203" pitchFamily="34" charset="0"/>
                <a:ea typeface="Segoe UI Black" panose="020B0A02040204020203" pitchFamily="34" charset="0"/>
                <a:cs typeface="Segoe UI" panose="020B0502040204020203" pitchFamily="34" charset="0"/>
              </a:rPr>
              <a:t>Assets</a:t>
            </a:r>
          </a:p>
        </xdr:txBody>
      </xdr:sp>
      <xdr:sp macro="" textlink="'Data &amp; KPI''s'!U3">
        <xdr:nvSpPr>
          <xdr:cNvPr id="24" name="TextBox 23">
            <a:extLst>
              <a:ext uri="{FF2B5EF4-FFF2-40B4-BE49-F238E27FC236}">
                <a16:creationId xmlns:a16="http://schemas.microsoft.com/office/drawing/2014/main" id="{E7360014-2539-A526-DFB4-CD1359939225}"/>
              </a:ext>
            </a:extLst>
          </xdr:cNvPr>
          <xdr:cNvSpPr txBox="1"/>
        </xdr:nvSpPr>
        <xdr:spPr>
          <a:xfrm>
            <a:off x="6967407" y="1256879"/>
            <a:ext cx="65267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6FBD3412-D541-440D-BBEB-9A19F41AD87A}" type="TxLink">
              <a:rPr lang="en-US" sz="2400" b="1" i="0" u="none" strike="noStrike">
                <a:solidFill>
                  <a:srgbClr val="006600"/>
                </a:solidFill>
                <a:latin typeface="Calibri"/>
                <a:ea typeface="Calibri"/>
                <a:cs typeface="Calibri"/>
              </a:rPr>
              <a:pPr algn="ctr"/>
              <a:t>322</a:t>
            </a:fld>
            <a:endParaRPr lang="en-IN" sz="2400" b="1">
              <a:solidFill>
                <a:srgbClr val="006600"/>
              </a:solidFill>
            </a:endParaRPr>
          </a:p>
        </xdr:txBody>
      </xdr:sp>
      <xdr:pic>
        <xdr:nvPicPr>
          <xdr:cNvPr id="38" name="Picture 37">
            <a:extLst>
              <a:ext uri="{FF2B5EF4-FFF2-40B4-BE49-F238E27FC236}">
                <a16:creationId xmlns:a16="http://schemas.microsoft.com/office/drawing/2014/main" id="{7F8AF527-AB2D-34B3-F112-31650702F9D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18789" y="1108099"/>
            <a:ext cx="676013" cy="678067"/>
          </a:xfrm>
          <a:prstGeom prst="rect">
            <a:avLst/>
          </a:prstGeom>
        </xdr:spPr>
      </xdr:pic>
    </xdr:grpSp>
    <xdr:clientData/>
  </xdr:twoCellAnchor>
  <xdr:twoCellAnchor>
    <xdr:from>
      <xdr:col>14</xdr:col>
      <xdr:colOff>255406</xdr:colOff>
      <xdr:row>6</xdr:row>
      <xdr:rowOff>302</xdr:rowOff>
    </xdr:from>
    <xdr:to>
      <xdr:col>19</xdr:col>
      <xdr:colOff>418941</xdr:colOff>
      <xdr:row>10</xdr:row>
      <xdr:rowOff>12267</xdr:rowOff>
    </xdr:to>
    <xdr:grpSp>
      <xdr:nvGrpSpPr>
        <xdr:cNvPr id="37" name="Group 36">
          <a:extLst>
            <a:ext uri="{FF2B5EF4-FFF2-40B4-BE49-F238E27FC236}">
              <a16:creationId xmlns:a16="http://schemas.microsoft.com/office/drawing/2014/main" id="{C4B3BC9F-5C84-5BCC-2B3C-779035D86E3D}"/>
            </a:ext>
          </a:extLst>
        </xdr:cNvPr>
        <xdr:cNvGrpSpPr/>
      </xdr:nvGrpSpPr>
      <xdr:grpSpPr>
        <a:xfrm>
          <a:off x="8789806" y="1080957"/>
          <a:ext cx="3211535" cy="732401"/>
          <a:chOff x="8727053" y="1076067"/>
          <a:chExt cx="3189123" cy="729141"/>
        </a:xfrm>
      </xdr:grpSpPr>
      <xdr:sp macro="" textlink="">
        <xdr:nvSpPr>
          <xdr:cNvPr id="17" name="Rectangle: Rounded Corners 16">
            <a:extLst>
              <a:ext uri="{FF2B5EF4-FFF2-40B4-BE49-F238E27FC236}">
                <a16:creationId xmlns:a16="http://schemas.microsoft.com/office/drawing/2014/main" id="{EF49B1AE-DC03-E772-C0F5-F82A8F504F88}"/>
              </a:ext>
            </a:extLst>
          </xdr:cNvPr>
          <xdr:cNvSpPr/>
        </xdr:nvSpPr>
        <xdr:spPr>
          <a:xfrm>
            <a:off x="8727053" y="1076067"/>
            <a:ext cx="3189123" cy="729141"/>
          </a:xfrm>
          <a:prstGeom prst="roundRect">
            <a:avLst>
              <a:gd name="adj" fmla="val 8070"/>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ctr"/>
            <a:r>
              <a:rPr lang="en-IN" sz="11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Under Maintenance </a:t>
            </a:r>
            <a:r>
              <a:rPr lang="en-IN" sz="1100" b="1">
                <a:solidFill>
                  <a:schemeClr val="tx1"/>
                </a:solidFill>
                <a:latin typeface="Segoe UI" panose="020B0502040204020203" pitchFamily="34" charset="0"/>
                <a:ea typeface="Segoe UI Black" panose="020B0A02040204020203" pitchFamily="34" charset="0"/>
                <a:cs typeface="Segoe UI" panose="020B0502040204020203" pitchFamily="34" charset="0"/>
              </a:rPr>
              <a:t>Assets</a:t>
            </a:r>
          </a:p>
        </xdr:txBody>
      </xdr:sp>
      <xdr:sp macro="" textlink="'Data &amp; KPI''s'!V3">
        <xdr:nvSpPr>
          <xdr:cNvPr id="25" name="TextBox 24">
            <a:extLst>
              <a:ext uri="{FF2B5EF4-FFF2-40B4-BE49-F238E27FC236}">
                <a16:creationId xmlns:a16="http://schemas.microsoft.com/office/drawing/2014/main" id="{E72AA054-933C-EEE5-3F83-8920B5C9F9BD}"/>
              </a:ext>
            </a:extLst>
          </xdr:cNvPr>
          <xdr:cNvSpPr txBox="1"/>
        </xdr:nvSpPr>
        <xdr:spPr>
          <a:xfrm>
            <a:off x="10211968" y="1247229"/>
            <a:ext cx="65267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971CBA8F-80A2-4A08-BBE4-56AB258AB808}" type="TxLink">
              <a:rPr lang="en-US" sz="2400" b="1" i="0" u="none" strike="noStrike">
                <a:solidFill>
                  <a:srgbClr val="FF6600"/>
                </a:solidFill>
                <a:latin typeface="Calibri"/>
                <a:ea typeface="Calibri"/>
                <a:cs typeface="Calibri"/>
              </a:rPr>
              <a:pPr algn="ctr"/>
              <a:t>313</a:t>
            </a:fld>
            <a:endParaRPr lang="en-IN" sz="2400" b="1">
              <a:solidFill>
                <a:srgbClr val="FF6600"/>
              </a:solidFill>
            </a:endParaRPr>
          </a:p>
        </xdr:txBody>
      </xdr:sp>
      <xdr:pic>
        <xdr:nvPicPr>
          <xdr:cNvPr id="40" name="Picture 39">
            <a:extLst>
              <a:ext uri="{FF2B5EF4-FFF2-40B4-BE49-F238E27FC236}">
                <a16:creationId xmlns:a16="http://schemas.microsoft.com/office/drawing/2014/main" id="{8E85D3DD-FC6D-4AAD-BDEF-90D5D24DF47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751483" y="1101619"/>
            <a:ext cx="681728" cy="665222"/>
          </a:xfrm>
          <a:prstGeom prst="rect">
            <a:avLst/>
          </a:prstGeom>
        </xdr:spPr>
      </xdr:pic>
    </xdr:grpSp>
    <xdr:clientData/>
  </xdr:twoCellAnchor>
  <xdr:twoCellAnchor>
    <xdr:from>
      <xdr:col>19</xdr:col>
      <xdr:colOff>492209</xdr:colOff>
      <xdr:row>6</xdr:row>
      <xdr:rowOff>3324</xdr:rowOff>
    </xdr:from>
    <xdr:to>
      <xdr:col>25</xdr:col>
      <xdr:colOff>42313</xdr:colOff>
      <xdr:row>10</xdr:row>
      <xdr:rowOff>19939</xdr:rowOff>
    </xdr:to>
    <xdr:grpSp>
      <xdr:nvGrpSpPr>
        <xdr:cNvPr id="39" name="Group 38">
          <a:extLst>
            <a:ext uri="{FF2B5EF4-FFF2-40B4-BE49-F238E27FC236}">
              <a16:creationId xmlns:a16="http://schemas.microsoft.com/office/drawing/2014/main" id="{C66D17FB-0F30-7B7E-6718-513F7EC5AC28}"/>
            </a:ext>
          </a:extLst>
        </xdr:cNvPr>
        <xdr:cNvGrpSpPr/>
      </xdr:nvGrpSpPr>
      <xdr:grpSpPr>
        <a:xfrm>
          <a:off x="12074609" y="1083979"/>
          <a:ext cx="3207704" cy="737051"/>
          <a:chOff x="11989444" y="1079089"/>
          <a:chExt cx="3180810" cy="733791"/>
        </a:xfrm>
      </xdr:grpSpPr>
      <xdr:sp macro="" textlink="">
        <xdr:nvSpPr>
          <xdr:cNvPr id="18" name="Rectangle: Rounded Corners 17">
            <a:extLst>
              <a:ext uri="{FF2B5EF4-FFF2-40B4-BE49-F238E27FC236}">
                <a16:creationId xmlns:a16="http://schemas.microsoft.com/office/drawing/2014/main" id="{56896E7E-F1FB-D639-2735-3BA666CF665B}"/>
              </a:ext>
            </a:extLst>
          </xdr:cNvPr>
          <xdr:cNvSpPr/>
        </xdr:nvSpPr>
        <xdr:spPr>
          <a:xfrm>
            <a:off x="11989444" y="1079089"/>
            <a:ext cx="3180810" cy="733791"/>
          </a:xfrm>
          <a:prstGeom prst="roundRect">
            <a:avLst>
              <a:gd name="adj" fmla="val 8070"/>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ctr"/>
            <a:r>
              <a:rPr lang="en-IN" sz="11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Total Downtime Hours</a:t>
            </a:r>
            <a:endParaRPr lang="en-IN" sz="1100" b="1">
              <a:solidFill>
                <a:schemeClr val="tx1"/>
              </a:solidFill>
              <a:latin typeface="Segoe UI" panose="020B0502040204020203" pitchFamily="34" charset="0"/>
              <a:ea typeface="Segoe UI Black" panose="020B0A02040204020203" pitchFamily="34" charset="0"/>
              <a:cs typeface="Segoe UI" panose="020B0502040204020203" pitchFamily="34" charset="0"/>
            </a:endParaRPr>
          </a:p>
        </xdr:txBody>
      </xdr:sp>
      <xdr:sp macro="" textlink="'Data &amp; KPI''s'!W3">
        <xdr:nvSpPr>
          <xdr:cNvPr id="30" name="TextBox 29">
            <a:extLst>
              <a:ext uri="{FF2B5EF4-FFF2-40B4-BE49-F238E27FC236}">
                <a16:creationId xmlns:a16="http://schemas.microsoft.com/office/drawing/2014/main" id="{BC207E80-D682-66E8-7ED9-C1906A5D87EC}"/>
              </a:ext>
            </a:extLst>
          </xdr:cNvPr>
          <xdr:cNvSpPr txBox="1"/>
        </xdr:nvSpPr>
        <xdr:spPr>
          <a:xfrm>
            <a:off x="13364047" y="1255201"/>
            <a:ext cx="88549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A0AAA0B-FE3A-4441-BB4A-2B598839E3A7}" type="TxLink">
              <a:rPr lang="en-US" sz="2400" b="1" i="0" u="none" strike="noStrike">
                <a:solidFill>
                  <a:srgbClr val="CC0000"/>
                </a:solidFill>
                <a:latin typeface="Calibri"/>
                <a:ea typeface="Calibri"/>
                <a:cs typeface="Calibri"/>
              </a:rPr>
              <a:pPr algn="ctr"/>
              <a:t>9,193</a:t>
            </a:fld>
            <a:endParaRPr lang="en-IN" sz="2400" b="1">
              <a:solidFill>
                <a:srgbClr val="CC0000"/>
              </a:solidFill>
            </a:endParaRPr>
          </a:p>
        </xdr:txBody>
      </xdr:sp>
      <xdr:pic>
        <xdr:nvPicPr>
          <xdr:cNvPr id="42" name="Picture 41">
            <a:extLst>
              <a:ext uri="{FF2B5EF4-FFF2-40B4-BE49-F238E27FC236}">
                <a16:creationId xmlns:a16="http://schemas.microsoft.com/office/drawing/2014/main" id="{4D5FF00D-6949-C248-2BA3-5AB24FEF3B6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011899" y="1104962"/>
            <a:ext cx="679994" cy="682916"/>
          </a:xfrm>
          <a:prstGeom prst="rect">
            <a:avLst/>
          </a:prstGeom>
        </xdr:spPr>
      </xdr:pic>
    </xdr:grpSp>
    <xdr:clientData/>
  </xdr:twoCellAnchor>
  <xdr:twoCellAnchor>
    <xdr:from>
      <xdr:col>3</xdr:col>
      <xdr:colOff>381684</xdr:colOff>
      <xdr:row>10</xdr:row>
      <xdr:rowOff>107147</xdr:rowOff>
    </xdr:from>
    <xdr:to>
      <xdr:col>8</xdr:col>
      <xdr:colOff>542231</xdr:colOff>
      <xdr:row>14</xdr:row>
      <xdr:rowOff>124577</xdr:rowOff>
    </xdr:to>
    <xdr:grpSp>
      <xdr:nvGrpSpPr>
        <xdr:cNvPr id="47" name="Group 46">
          <a:extLst>
            <a:ext uri="{FF2B5EF4-FFF2-40B4-BE49-F238E27FC236}">
              <a16:creationId xmlns:a16="http://schemas.microsoft.com/office/drawing/2014/main" id="{6640FA50-ED01-EC90-5B0B-78FA8D04910B}"/>
            </a:ext>
          </a:extLst>
        </xdr:cNvPr>
        <xdr:cNvGrpSpPr/>
      </xdr:nvGrpSpPr>
      <xdr:grpSpPr>
        <a:xfrm>
          <a:off x="2210484" y="1908238"/>
          <a:ext cx="3208547" cy="737866"/>
          <a:chOff x="2197037" y="1900088"/>
          <a:chExt cx="3186135" cy="734607"/>
        </a:xfrm>
      </xdr:grpSpPr>
      <xdr:sp macro="" textlink="">
        <xdr:nvSpPr>
          <xdr:cNvPr id="19" name="Rectangle: Rounded Corners 18">
            <a:extLst>
              <a:ext uri="{FF2B5EF4-FFF2-40B4-BE49-F238E27FC236}">
                <a16:creationId xmlns:a16="http://schemas.microsoft.com/office/drawing/2014/main" id="{56A1CDC1-93C7-7B48-4BDB-5E1784121EFE}"/>
              </a:ext>
            </a:extLst>
          </xdr:cNvPr>
          <xdr:cNvSpPr/>
        </xdr:nvSpPr>
        <xdr:spPr>
          <a:xfrm>
            <a:off x="2197037" y="1900088"/>
            <a:ext cx="3186135" cy="734607"/>
          </a:xfrm>
          <a:prstGeom prst="roundRect">
            <a:avLst>
              <a:gd name="adj" fmla="val 8070"/>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ctr"/>
            <a:r>
              <a:rPr lang="en-IN" sz="11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Total Maintenance Cost</a:t>
            </a:r>
            <a:endParaRPr lang="en-IN" sz="1100" b="1">
              <a:solidFill>
                <a:schemeClr val="tx1"/>
              </a:solidFill>
              <a:latin typeface="Segoe UI" panose="020B0502040204020203" pitchFamily="34" charset="0"/>
              <a:ea typeface="Segoe UI Black" panose="020B0A02040204020203" pitchFamily="34" charset="0"/>
              <a:cs typeface="Segoe UI" panose="020B0502040204020203" pitchFamily="34" charset="0"/>
            </a:endParaRPr>
          </a:p>
        </xdr:txBody>
      </xdr:sp>
      <xdr:sp macro="" textlink="'Data &amp; KPI''s'!X3">
        <xdr:nvSpPr>
          <xdr:cNvPr id="31" name="TextBox 30">
            <a:extLst>
              <a:ext uri="{FF2B5EF4-FFF2-40B4-BE49-F238E27FC236}">
                <a16:creationId xmlns:a16="http://schemas.microsoft.com/office/drawing/2014/main" id="{C0C376B5-CB16-D2B2-4B80-548ED4D77BCC}"/>
              </a:ext>
            </a:extLst>
          </xdr:cNvPr>
          <xdr:cNvSpPr txBox="1"/>
        </xdr:nvSpPr>
        <xdr:spPr>
          <a:xfrm>
            <a:off x="3131520" y="2107995"/>
            <a:ext cx="181190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88853407-7A8A-4A08-B757-40643000BADD}" type="TxLink">
              <a:rPr lang="en-US" sz="2400" b="1" i="0" u="none" strike="noStrike">
                <a:solidFill>
                  <a:srgbClr val="7030A0"/>
                </a:solidFill>
                <a:latin typeface="Calibri"/>
                <a:ea typeface="Calibri"/>
                <a:cs typeface="Calibri"/>
              </a:rPr>
              <a:pPr algn="ctr"/>
              <a:t>₹ 23,585,531</a:t>
            </a:fld>
            <a:endParaRPr lang="en-IN" sz="2400" b="1">
              <a:solidFill>
                <a:srgbClr val="7030A0"/>
              </a:solidFill>
            </a:endParaRPr>
          </a:p>
        </xdr:txBody>
      </xdr:sp>
      <xdr:pic>
        <xdr:nvPicPr>
          <xdr:cNvPr id="44" name="Picture 43">
            <a:extLst>
              <a:ext uri="{FF2B5EF4-FFF2-40B4-BE49-F238E27FC236}">
                <a16:creationId xmlns:a16="http://schemas.microsoft.com/office/drawing/2014/main" id="{D615B364-37E8-D6D1-7E66-10540C24582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233660" y="1931829"/>
            <a:ext cx="682981" cy="676499"/>
          </a:xfrm>
          <a:prstGeom prst="rect">
            <a:avLst/>
          </a:prstGeom>
        </xdr:spPr>
      </xdr:pic>
    </xdr:grpSp>
    <xdr:clientData/>
  </xdr:twoCellAnchor>
  <xdr:twoCellAnchor>
    <xdr:from>
      <xdr:col>14</xdr:col>
      <xdr:colOff>258345</xdr:colOff>
      <xdr:row>10</xdr:row>
      <xdr:rowOff>106241</xdr:rowOff>
    </xdr:from>
    <xdr:to>
      <xdr:col>19</xdr:col>
      <xdr:colOff>421880</xdr:colOff>
      <xdr:row>14</xdr:row>
      <xdr:rowOff>123671</xdr:rowOff>
    </xdr:to>
    <xdr:grpSp>
      <xdr:nvGrpSpPr>
        <xdr:cNvPr id="43" name="Group 42">
          <a:extLst>
            <a:ext uri="{FF2B5EF4-FFF2-40B4-BE49-F238E27FC236}">
              <a16:creationId xmlns:a16="http://schemas.microsoft.com/office/drawing/2014/main" id="{1239CB0F-87F8-47DD-0DE3-8171EAD4EAAE}"/>
            </a:ext>
          </a:extLst>
        </xdr:cNvPr>
        <xdr:cNvGrpSpPr/>
      </xdr:nvGrpSpPr>
      <xdr:grpSpPr>
        <a:xfrm>
          <a:off x="8792745" y="1907332"/>
          <a:ext cx="3211535" cy="737866"/>
          <a:chOff x="8729992" y="1899182"/>
          <a:chExt cx="3189123" cy="734607"/>
        </a:xfrm>
      </xdr:grpSpPr>
      <xdr:sp macro="" textlink="">
        <xdr:nvSpPr>
          <xdr:cNvPr id="21" name="Rectangle: Rounded Corners 20">
            <a:extLst>
              <a:ext uri="{FF2B5EF4-FFF2-40B4-BE49-F238E27FC236}">
                <a16:creationId xmlns:a16="http://schemas.microsoft.com/office/drawing/2014/main" id="{3CF1F1DC-5A5D-5DFA-1DC9-4E37BE45FDA8}"/>
              </a:ext>
            </a:extLst>
          </xdr:cNvPr>
          <xdr:cNvSpPr/>
        </xdr:nvSpPr>
        <xdr:spPr>
          <a:xfrm>
            <a:off x="8729992" y="1899182"/>
            <a:ext cx="3189123" cy="734607"/>
          </a:xfrm>
          <a:prstGeom prst="roundRect">
            <a:avLst>
              <a:gd name="adj" fmla="val 8070"/>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ctr"/>
            <a:r>
              <a:rPr lang="en-IN" sz="11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Active Asset Rate</a:t>
            </a:r>
            <a:endParaRPr lang="en-IN" sz="1100" b="1">
              <a:solidFill>
                <a:schemeClr val="tx1"/>
              </a:solidFill>
              <a:latin typeface="Segoe UI" panose="020B0502040204020203" pitchFamily="34" charset="0"/>
              <a:ea typeface="Segoe UI Black" panose="020B0A02040204020203" pitchFamily="34" charset="0"/>
              <a:cs typeface="Segoe UI" panose="020B0502040204020203" pitchFamily="34" charset="0"/>
            </a:endParaRPr>
          </a:p>
        </xdr:txBody>
      </xdr:sp>
      <xdr:sp macro="" textlink="'Data &amp; KPI''s'!Z3">
        <xdr:nvSpPr>
          <xdr:cNvPr id="33" name="TextBox 32">
            <a:extLst>
              <a:ext uri="{FF2B5EF4-FFF2-40B4-BE49-F238E27FC236}">
                <a16:creationId xmlns:a16="http://schemas.microsoft.com/office/drawing/2014/main" id="{E7C418B0-99B0-ACAC-EE10-D17F40231D21}"/>
              </a:ext>
            </a:extLst>
          </xdr:cNvPr>
          <xdr:cNvSpPr txBox="1"/>
        </xdr:nvSpPr>
        <xdr:spPr>
          <a:xfrm>
            <a:off x="10043750" y="2087698"/>
            <a:ext cx="95038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E907DF5D-D873-4987-8AB5-066AF1BC0C6D}" type="TxLink">
              <a:rPr lang="en-US" sz="2400" b="1" i="0" u="none" strike="noStrike">
                <a:solidFill>
                  <a:srgbClr val="008080"/>
                </a:solidFill>
                <a:latin typeface="Calibri"/>
                <a:ea typeface="Calibri"/>
                <a:cs typeface="Calibri"/>
              </a:rPr>
              <a:pPr algn="ctr"/>
              <a:t>32.2%</a:t>
            </a:fld>
            <a:endParaRPr lang="en-IN" sz="2400" b="1">
              <a:solidFill>
                <a:srgbClr val="008080"/>
              </a:solidFill>
            </a:endParaRPr>
          </a:p>
        </xdr:txBody>
      </xdr:sp>
      <xdr:pic>
        <xdr:nvPicPr>
          <xdr:cNvPr id="48" name="Picture 47">
            <a:extLst>
              <a:ext uri="{FF2B5EF4-FFF2-40B4-BE49-F238E27FC236}">
                <a16:creationId xmlns:a16="http://schemas.microsoft.com/office/drawing/2014/main" id="{1D68247C-493D-8F30-1088-84F113AFB7C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773695" y="1933972"/>
            <a:ext cx="682984" cy="673410"/>
          </a:xfrm>
          <a:prstGeom prst="rect">
            <a:avLst/>
          </a:prstGeom>
        </xdr:spPr>
      </xdr:pic>
    </xdr:grpSp>
    <xdr:clientData/>
  </xdr:twoCellAnchor>
  <xdr:twoCellAnchor editAs="oneCell">
    <xdr:from>
      <xdr:col>24</xdr:col>
      <xdr:colOff>81556</xdr:colOff>
      <xdr:row>1</xdr:row>
      <xdr:rowOff>177661</xdr:rowOff>
    </xdr:from>
    <xdr:to>
      <xdr:col>25</xdr:col>
      <xdr:colOff>40398</xdr:colOff>
      <xdr:row>4</xdr:row>
      <xdr:rowOff>172138</xdr:rowOff>
    </xdr:to>
    <xdr:pic>
      <xdr:nvPicPr>
        <xdr:cNvPr id="52" name="Picture 51">
          <a:extLst>
            <a:ext uri="{FF2B5EF4-FFF2-40B4-BE49-F238E27FC236}">
              <a16:creationId xmlns:a16="http://schemas.microsoft.com/office/drawing/2014/main" id="{2B1C137C-043E-431D-308F-EF339B87223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585832" y="361592"/>
          <a:ext cx="563187" cy="546270"/>
        </a:xfrm>
        <a:prstGeom prst="rect">
          <a:avLst/>
        </a:prstGeom>
      </xdr:spPr>
    </xdr:pic>
    <xdr:clientData/>
  </xdr:twoCellAnchor>
  <xdr:twoCellAnchor editAs="oneCell">
    <xdr:from>
      <xdr:col>1</xdr:col>
      <xdr:colOff>54001</xdr:colOff>
      <xdr:row>1</xdr:row>
      <xdr:rowOff>142925</xdr:rowOff>
    </xdr:from>
    <xdr:to>
      <xdr:col>2</xdr:col>
      <xdr:colOff>129638</xdr:colOff>
      <xdr:row>4</xdr:row>
      <xdr:rowOff>137402</xdr:rowOff>
    </xdr:to>
    <xdr:pic>
      <xdr:nvPicPr>
        <xdr:cNvPr id="54" name="Picture 53">
          <a:extLst>
            <a:ext uri="{FF2B5EF4-FFF2-40B4-BE49-F238E27FC236}">
              <a16:creationId xmlns:a16="http://schemas.microsoft.com/office/drawing/2014/main" id="{282F6D60-E79A-B25B-5E92-F0387372D4E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5189" y="325488"/>
          <a:ext cx="686824" cy="542164"/>
        </a:xfrm>
        <a:prstGeom prst="rect">
          <a:avLst/>
        </a:prstGeom>
      </xdr:spPr>
    </xdr:pic>
    <xdr:clientData/>
  </xdr:twoCellAnchor>
  <xdr:twoCellAnchor>
    <xdr:from>
      <xdr:col>9</xdr:col>
      <xdr:colOff>20515</xdr:colOff>
      <xdr:row>10</xdr:row>
      <xdr:rowOff>104627</xdr:rowOff>
    </xdr:from>
    <xdr:to>
      <xdr:col>14</xdr:col>
      <xdr:colOff>181278</xdr:colOff>
      <xdr:row>14</xdr:row>
      <xdr:rowOff>122057</xdr:rowOff>
    </xdr:to>
    <xdr:grpSp>
      <xdr:nvGrpSpPr>
        <xdr:cNvPr id="45" name="Group 44">
          <a:extLst>
            <a:ext uri="{FF2B5EF4-FFF2-40B4-BE49-F238E27FC236}">
              <a16:creationId xmlns:a16="http://schemas.microsoft.com/office/drawing/2014/main" id="{11DA2837-5119-D574-BE56-24DA6467682A}"/>
            </a:ext>
          </a:extLst>
        </xdr:cNvPr>
        <xdr:cNvGrpSpPr/>
      </xdr:nvGrpSpPr>
      <xdr:grpSpPr>
        <a:xfrm>
          <a:off x="5506915" y="1905718"/>
          <a:ext cx="3208763" cy="737866"/>
          <a:chOff x="5466574" y="1897568"/>
          <a:chExt cx="3186351" cy="734607"/>
        </a:xfrm>
      </xdr:grpSpPr>
      <xdr:sp macro="" textlink="">
        <xdr:nvSpPr>
          <xdr:cNvPr id="20" name="Rectangle: Rounded Corners 19">
            <a:extLst>
              <a:ext uri="{FF2B5EF4-FFF2-40B4-BE49-F238E27FC236}">
                <a16:creationId xmlns:a16="http://schemas.microsoft.com/office/drawing/2014/main" id="{FEB63BA3-C4E8-C7D8-7A02-20DC9B769EC1}"/>
              </a:ext>
            </a:extLst>
          </xdr:cNvPr>
          <xdr:cNvSpPr/>
        </xdr:nvSpPr>
        <xdr:spPr>
          <a:xfrm>
            <a:off x="5466574" y="1897568"/>
            <a:ext cx="3186351" cy="734607"/>
          </a:xfrm>
          <a:prstGeom prst="roundRect">
            <a:avLst>
              <a:gd name="adj" fmla="val 8070"/>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ctr"/>
            <a:r>
              <a:rPr lang="en-IN" sz="11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Average Repair Time</a:t>
            </a:r>
            <a:endParaRPr lang="en-IN" sz="1100" b="1">
              <a:solidFill>
                <a:schemeClr val="tx1"/>
              </a:solidFill>
              <a:latin typeface="Segoe UI" panose="020B0502040204020203" pitchFamily="34" charset="0"/>
              <a:ea typeface="Segoe UI Black" panose="020B0A02040204020203" pitchFamily="34" charset="0"/>
              <a:cs typeface="Segoe UI" panose="020B0502040204020203" pitchFamily="34" charset="0"/>
            </a:endParaRPr>
          </a:p>
        </xdr:txBody>
      </xdr:sp>
      <xdr:sp macro="" textlink="'Data &amp; KPI''s'!Y3">
        <xdr:nvSpPr>
          <xdr:cNvPr id="32" name="TextBox 31">
            <a:extLst>
              <a:ext uri="{FF2B5EF4-FFF2-40B4-BE49-F238E27FC236}">
                <a16:creationId xmlns:a16="http://schemas.microsoft.com/office/drawing/2014/main" id="{AFD7E61D-B6CC-38B2-36FD-3C9D99B98E5C}"/>
              </a:ext>
            </a:extLst>
          </xdr:cNvPr>
          <xdr:cNvSpPr txBox="1"/>
        </xdr:nvSpPr>
        <xdr:spPr>
          <a:xfrm>
            <a:off x="6702896" y="2090197"/>
            <a:ext cx="57438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EF52D442-3B21-4386-8A3E-42EA79D2CE8B}" type="TxLink">
              <a:rPr lang="en-US" sz="2400" b="1" i="0" u="none" strike="noStrike">
                <a:solidFill>
                  <a:srgbClr val="002060"/>
                </a:solidFill>
                <a:latin typeface="Calibri"/>
                <a:ea typeface="Calibri"/>
                <a:cs typeface="Calibri"/>
              </a:rPr>
              <a:pPr algn="ctr"/>
              <a:t>5.1</a:t>
            </a:fld>
            <a:endParaRPr lang="en-IN" sz="2400" b="1">
              <a:solidFill>
                <a:srgbClr val="002060"/>
              </a:solidFill>
            </a:endParaRPr>
          </a:p>
        </xdr:txBody>
      </xdr:sp>
      <xdr:pic>
        <xdr:nvPicPr>
          <xdr:cNvPr id="46" name="Picture 45">
            <a:extLst>
              <a:ext uri="{FF2B5EF4-FFF2-40B4-BE49-F238E27FC236}">
                <a16:creationId xmlns:a16="http://schemas.microsoft.com/office/drawing/2014/main" id="{CF6D5967-AB50-C6D6-0BC5-B92D0EEA41C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497167" y="1925313"/>
            <a:ext cx="682979" cy="676499"/>
          </a:xfrm>
          <a:prstGeom prst="rect">
            <a:avLst/>
          </a:prstGeom>
        </xdr:spPr>
      </xdr:pic>
      <xdr:sp macro="" textlink="">
        <xdr:nvSpPr>
          <xdr:cNvPr id="55" name="TextBox 54">
            <a:extLst>
              <a:ext uri="{FF2B5EF4-FFF2-40B4-BE49-F238E27FC236}">
                <a16:creationId xmlns:a16="http://schemas.microsoft.com/office/drawing/2014/main" id="{0C38AF71-0B30-8221-AAD7-163CD63C8E27}"/>
              </a:ext>
            </a:extLst>
          </xdr:cNvPr>
          <xdr:cNvSpPr txBox="1"/>
        </xdr:nvSpPr>
        <xdr:spPr>
          <a:xfrm>
            <a:off x="7166337" y="2208012"/>
            <a:ext cx="62619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rgbClr val="002060"/>
                </a:solidFill>
              </a:rPr>
              <a:t>Hours</a:t>
            </a:r>
          </a:p>
        </xdr:txBody>
      </xdr:sp>
    </xdr:grpSp>
    <xdr:clientData/>
  </xdr:twoCellAnchor>
  <xdr:twoCellAnchor>
    <xdr:from>
      <xdr:col>19</xdr:col>
      <xdr:colOff>491527</xdr:colOff>
      <xdr:row>10</xdr:row>
      <xdr:rowOff>100537</xdr:rowOff>
    </xdr:from>
    <xdr:to>
      <xdr:col>25</xdr:col>
      <xdr:colOff>41631</xdr:colOff>
      <xdr:row>14</xdr:row>
      <xdr:rowOff>117152</xdr:rowOff>
    </xdr:to>
    <xdr:grpSp>
      <xdr:nvGrpSpPr>
        <xdr:cNvPr id="41" name="Group 40">
          <a:extLst>
            <a:ext uri="{FF2B5EF4-FFF2-40B4-BE49-F238E27FC236}">
              <a16:creationId xmlns:a16="http://schemas.microsoft.com/office/drawing/2014/main" id="{B8B7ACCB-3B03-8D79-AE39-EE7608A81BF4}"/>
            </a:ext>
          </a:extLst>
        </xdr:cNvPr>
        <xdr:cNvGrpSpPr/>
      </xdr:nvGrpSpPr>
      <xdr:grpSpPr>
        <a:xfrm>
          <a:off x="12073927" y="1901628"/>
          <a:ext cx="3207704" cy="737051"/>
          <a:chOff x="11988762" y="1893478"/>
          <a:chExt cx="3180810" cy="733792"/>
        </a:xfrm>
      </xdr:grpSpPr>
      <xdr:sp macro="" textlink="">
        <xdr:nvSpPr>
          <xdr:cNvPr id="22" name="Rectangle: Rounded Corners 21">
            <a:extLst>
              <a:ext uri="{FF2B5EF4-FFF2-40B4-BE49-F238E27FC236}">
                <a16:creationId xmlns:a16="http://schemas.microsoft.com/office/drawing/2014/main" id="{34D24E04-5159-6E9B-990A-BB81A7BFA0CF}"/>
              </a:ext>
            </a:extLst>
          </xdr:cNvPr>
          <xdr:cNvSpPr/>
        </xdr:nvSpPr>
        <xdr:spPr>
          <a:xfrm>
            <a:off x="11988762" y="1893478"/>
            <a:ext cx="3180810" cy="733792"/>
          </a:xfrm>
          <a:prstGeom prst="roundRect">
            <a:avLst>
              <a:gd name="adj" fmla="val 8070"/>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ctr"/>
            <a:r>
              <a:rPr lang="en-IN" sz="11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Average Asset Age</a:t>
            </a:r>
            <a:endParaRPr lang="en-IN" sz="1100" b="1">
              <a:solidFill>
                <a:schemeClr val="tx1"/>
              </a:solidFill>
              <a:latin typeface="Segoe UI" panose="020B0502040204020203" pitchFamily="34" charset="0"/>
              <a:ea typeface="Segoe UI Black" panose="020B0A02040204020203" pitchFamily="34" charset="0"/>
              <a:cs typeface="Segoe UI" panose="020B0502040204020203" pitchFamily="34" charset="0"/>
            </a:endParaRPr>
          </a:p>
        </xdr:txBody>
      </xdr:sp>
      <xdr:sp macro="" textlink="'Data &amp; KPI''s'!AA3">
        <xdr:nvSpPr>
          <xdr:cNvPr id="34" name="TextBox 33">
            <a:extLst>
              <a:ext uri="{FF2B5EF4-FFF2-40B4-BE49-F238E27FC236}">
                <a16:creationId xmlns:a16="http://schemas.microsoft.com/office/drawing/2014/main" id="{2F7BDE0F-3BF0-BFE8-CE39-ED0BD74189F5}"/>
              </a:ext>
            </a:extLst>
          </xdr:cNvPr>
          <xdr:cNvSpPr txBox="1"/>
        </xdr:nvSpPr>
        <xdr:spPr>
          <a:xfrm>
            <a:off x="13273907" y="2076466"/>
            <a:ext cx="57438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EC256097-8136-4869-BC69-8D3C220FA0D9}" type="TxLink">
              <a:rPr lang="en-US" sz="2400" b="1" i="0" u="none" strike="noStrike">
                <a:solidFill>
                  <a:schemeClr val="accent6">
                    <a:lumMod val="50000"/>
                  </a:schemeClr>
                </a:solidFill>
                <a:latin typeface="Calibri"/>
                <a:ea typeface="Calibri"/>
                <a:cs typeface="Calibri"/>
              </a:rPr>
              <a:pPr algn="ctr"/>
              <a:t>6.3</a:t>
            </a:fld>
            <a:endParaRPr lang="en-IN" sz="2400" b="1">
              <a:solidFill>
                <a:schemeClr val="accent6">
                  <a:lumMod val="50000"/>
                </a:schemeClr>
              </a:solidFill>
            </a:endParaRPr>
          </a:p>
        </xdr:txBody>
      </xdr:sp>
      <xdr:pic>
        <xdr:nvPicPr>
          <xdr:cNvPr id="50" name="Picture 49">
            <a:extLst>
              <a:ext uri="{FF2B5EF4-FFF2-40B4-BE49-F238E27FC236}">
                <a16:creationId xmlns:a16="http://schemas.microsoft.com/office/drawing/2014/main" id="{9AA04983-0DAE-E064-D0DD-AB314A0B039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034888" y="1919080"/>
            <a:ext cx="680430" cy="682916"/>
          </a:xfrm>
          <a:prstGeom prst="rect">
            <a:avLst/>
          </a:prstGeom>
        </xdr:spPr>
      </xdr:pic>
      <xdr:sp macro="" textlink="">
        <xdr:nvSpPr>
          <xdr:cNvPr id="56" name="TextBox 55">
            <a:extLst>
              <a:ext uri="{FF2B5EF4-FFF2-40B4-BE49-F238E27FC236}">
                <a16:creationId xmlns:a16="http://schemas.microsoft.com/office/drawing/2014/main" id="{0F8EFF82-ACFE-52A1-62C6-41724F6B47B6}"/>
              </a:ext>
            </a:extLst>
          </xdr:cNvPr>
          <xdr:cNvSpPr txBox="1"/>
        </xdr:nvSpPr>
        <xdr:spPr>
          <a:xfrm>
            <a:off x="13742848" y="2193929"/>
            <a:ext cx="59240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accent6">
                    <a:lumMod val="50000"/>
                  </a:schemeClr>
                </a:solidFill>
              </a:rPr>
              <a:t>Years</a:t>
            </a:r>
          </a:p>
        </xdr:txBody>
      </xdr:sp>
    </xdr:grpSp>
    <xdr:clientData/>
  </xdr:twoCellAnchor>
  <xdr:twoCellAnchor>
    <xdr:from>
      <xdr:col>1</xdr:col>
      <xdr:colOff>23473</xdr:colOff>
      <xdr:row>6</xdr:row>
      <xdr:rowOff>11180</xdr:rowOff>
    </xdr:from>
    <xdr:to>
      <xdr:col>3</xdr:col>
      <xdr:colOff>154273</xdr:colOff>
      <xdr:row>48</xdr:row>
      <xdr:rowOff>165651</xdr:rowOff>
    </xdr:to>
    <xdr:sp macro="" textlink="">
      <xdr:nvSpPr>
        <xdr:cNvPr id="61" name="Rectangle: Rounded Corners 60">
          <a:extLst>
            <a:ext uri="{FF2B5EF4-FFF2-40B4-BE49-F238E27FC236}">
              <a16:creationId xmlns:a16="http://schemas.microsoft.com/office/drawing/2014/main" id="{A8C956B4-6317-AFA6-D809-C4DF82075BB1}"/>
            </a:ext>
          </a:extLst>
        </xdr:cNvPr>
        <xdr:cNvSpPr/>
      </xdr:nvSpPr>
      <xdr:spPr>
        <a:xfrm>
          <a:off x="633073" y="1124363"/>
          <a:ext cx="1350000" cy="7946749"/>
        </a:xfrm>
        <a:prstGeom prst="roundRect">
          <a:avLst>
            <a:gd name="adj" fmla="val 4230"/>
          </a:avLst>
        </a:prstGeom>
        <a:solidFill>
          <a:srgbClr val="002060"/>
        </a:solidFill>
        <a:ln>
          <a:solidFill>
            <a:srgbClr val="002060"/>
          </a:solid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Slicers</a:t>
          </a:r>
        </a:p>
      </xdr:txBody>
    </xdr:sp>
    <xdr:clientData/>
  </xdr:twoCellAnchor>
  <xdr:twoCellAnchor>
    <xdr:from>
      <xdr:col>3</xdr:col>
      <xdr:colOff>254339</xdr:colOff>
      <xdr:row>15</xdr:row>
      <xdr:rowOff>60360</xdr:rowOff>
    </xdr:from>
    <xdr:to>
      <xdr:col>9</xdr:col>
      <xdr:colOff>274034</xdr:colOff>
      <xdr:row>31</xdr:row>
      <xdr:rowOff>166270</xdr:rowOff>
    </xdr:to>
    <xdr:grpSp>
      <xdr:nvGrpSpPr>
        <xdr:cNvPr id="49" name="Group 48">
          <a:extLst>
            <a:ext uri="{FF2B5EF4-FFF2-40B4-BE49-F238E27FC236}">
              <a16:creationId xmlns:a16="http://schemas.microsoft.com/office/drawing/2014/main" id="{16D4D8A6-3A91-A529-4B32-1E189E09826E}"/>
            </a:ext>
          </a:extLst>
        </xdr:cNvPr>
        <xdr:cNvGrpSpPr/>
      </xdr:nvGrpSpPr>
      <xdr:grpSpPr>
        <a:xfrm>
          <a:off x="2083139" y="2761996"/>
          <a:ext cx="3677295" cy="2987656"/>
          <a:chOff x="2083139" y="2827623"/>
          <a:chExt cx="3677295" cy="3057658"/>
        </a:xfrm>
      </xdr:grpSpPr>
      <xdr:sp macro="" textlink="">
        <xdr:nvSpPr>
          <xdr:cNvPr id="63" name="Rectangle: Rounded Corners 62">
            <a:extLst>
              <a:ext uri="{FF2B5EF4-FFF2-40B4-BE49-F238E27FC236}">
                <a16:creationId xmlns:a16="http://schemas.microsoft.com/office/drawing/2014/main" id="{CF8EDCE7-AEFD-CD61-9E23-D8881FC34581}"/>
              </a:ext>
            </a:extLst>
          </xdr:cNvPr>
          <xdr:cNvSpPr/>
        </xdr:nvSpPr>
        <xdr:spPr>
          <a:xfrm>
            <a:off x="2083139" y="2830619"/>
            <a:ext cx="3675404" cy="3054662"/>
          </a:xfrm>
          <a:prstGeom prst="roundRect">
            <a:avLst>
              <a:gd name="adj" fmla="val 3275"/>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graphicFrame macro="">
        <xdr:nvGraphicFramePr>
          <xdr:cNvPr id="62" name="Chart 61">
            <a:extLst>
              <a:ext uri="{FF2B5EF4-FFF2-40B4-BE49-F238E27FC236}">
                <a16:creationId xmlns:a16="http://schemas.microsoft.com/office/drawing/2014/main" id="{1FEF881A-8575-429A-8FBF-20646CBC6F68}"/>
              </a:ext>
            </a:extLst>
          </xdr:cNvPr>
          <xdr:cNvGraphicFramePr>
            <a:graphicFrameLocks/>
          </xdr:cNvGraphicFramePr>
        </xdr:nvGraphicFramePr>
        <xdr:xfrm>
          <a:off x="2108383" y="3153054"/>
          <a:ext cx="3624708" cy="2681825"/>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64" name="Rectangle: Rounded Corners 63">
            <a:extLst>
              <a:ext uri="{FF2B5EF4-FFF2-40B4-BE49-F238E27FC236}">
                <a16:creationId xmlns:a16="http://schemas.microsoft.com/office/drawing/2014/main" id="{9AC456F3-ADC0-36C5-6702-1F070306E2A2}"/>
              </a:ext>
            </a:extLst>
          </xdr:cNvPr>
          <xdr:cNvSpPr/>
        </xdr:nvSpPr>
        <xdr:spPr>
          <a:xfrm>
            <a:off x="2086021" y="2827623"/>
            <a:ext cx="3674413" cy="320468"/>
          </a:xfrm>
          <a:prstGeom prst="roundRect">
            <a:avLst>
              <a:gd name="adj" fmla="val 33572"/>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Maintenance Cost by Plant</a:t>
            </a:r>
          </a:p>
        </xdr:txBody>
      </xdr:sp>
    </xdr:grpSp>
    <xdr:clientData/>
  </xdr:twoCellAnchor>
  <xdr:twoCellAnchor>
    <xdr:from>
      <xdr:col>9</xdr:col>
      <xdr:colOff>344147</xdr:colOff>
      <xdr:row>15</xdr:row>
      <xdr:rowOff>64715</xdr:rowOff>
    </xdr:from>
    <xdr:to>
      <xdr:col>14</xdr:col>
      <xdr:colOff>443994</xdr:colOff>
      <xdr:row>31</xdr:row>
      <xdr:rowOff>170625</xdr:rowOff>
    </xdr:to>
    <xdr:grpSp>
      <xdr:nvGrpSpPr>
        <xdr:cNvPr id="51" name="Group 50">
          <a:extLst>
            <a:ext uri="{FF2B5EF4-FFF2-40B4-BE49-F238E27FC236}">
              <a16:creationId xmlns:a16="http://schemas.microsoft.com/office/drawing/2014/main" id="{FD2C341B-3F2C-F69D-A1FA-279BBE1C9EF9}"/>
            </a:ext>
          </a:extLst>
        </xdr:cNvPr>
        <xdr:cNvGrpSpPr/>
      </xdr:nvGrpSpPr>
      <xdr:grpSpPr>
        <a:xfrm>
          <a:off x="5830547" y="2766351"/>
          <a:ext cx="3147847" cy="2987656"/>
          <a:chOff x="5841017" y="2769524"/>
          <a:chExt cx="3153664" cy="2991040"/>
        </a:xfrm>
      </xdr:grpSpPr>
      <xdr:sp macro="" textlink="">
        <xdr:nvSpPr>
          <xdr:cNvPr id="67" name="Rectangle: Rounded Corners 66">
            <a:extLst>
              <a:ext uri="{FF2B5EF4-FFF2-40B4-BE49-F238E27FC236}">
                <a16:creationId xmlns:a16="http://schemas.microsoft.com/office/drawing/2014/main" id="{1A282D58-2639-121F-D3C7-F781EC80B5E6}"/>
              </a:ext>
            </a:extLst>
          </xdr:cNvPr>
          <xdr:cNvSpPr/>
        </xdr:nvSpPr>
        <xdr:spPr>
          <a:xfrm>
            <a:off x="5841017" y="2772520"/>
            <a:ext cx="3151631" cy="2988044"/>
          </a:xfrm>
          <a:prstGeom prst="roundRect">
            <a:avLst>
              <a:gd name="adj" fmla="val 3275"/>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68" name="Rectangle: Rounded Corners 67">
            <a:extLst>
              <a:ext uri="{FF2B5EF4-FFF2-40B4-BE49-F238E27FC236}">
                <a16:creationId xmlns:a16="http://schemas.microsoft.com/office/drawing/2014/main" id="{83A8DB89-7091-CBAB-4E68-681CA8771726}"/>
              </a:ext>
            </a:extLst>
          </xdr:cNvPr>
          <xdr:cNvSpPr/>
        </xdr:nvSpPr>
        <xdr:spPr>
          <a:xfrm>
            <a:off x="5843898" y="2769524"/>
            <a:ext cx="3150783" cy="312140"/>
          </a:xfrm>
          <a:prstGeom prst="roundRect">
            <a:avLst>
              <a:gd name="adj" fmla="val 33572"/>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Down</a:t>
            </a:r>
            <a:r>
              <a:rPr lang="en-IN" sz="1200" b="1" baseline="0"/>
              <a:t>time </a:t>
            </a:r>
            <a:r>
              <a:rPr lang="en-IN" sz="1200" b="1"/>
              <a:t>by Machine</a:t>
            </a:r>
            <a:r>
              <a:rPr lang="en-IN" sz="1200" b="1" baseline="0"/>
              <a:t> Type</a:t>
            </a:r>
            <a:endParaRPr lang="en-IN" sz="1200" b="1"/>
          </a:p>
        </xdr:txBody>
      </xdr:sp>
      <xdr:graphicFrame macro="">
        <xdr:nvGraphicFramePr>
          <xdr:cNvPr id="69" name="Chart 68">
            <a:extLst>
              <a:ext uri="{FF2B5EF4-FFF2-40B4-BE49-F238E27FC236}">
                <a16:creationId xmlns:a16="http://schemas.microsoft.com/office/drawing/2014/main" id="{9FD14E2E-21C7-4CDA-8EB8-BBA2AEAE439C}"/>
              </a:ext>
            </a:extLst>
          </xdr:cNvPr>
          <xdr:cNvGraphicFramePr>
            <a:graphicFrameLocks/>
          </xdr:cNvGraphicFramePr>
        </xdr:nvGraphicFramePr>
        <xdr:xfrm>
          <a:off x="5857549" y="3095930"/>
          <a:ext cx="3104618" cy="2651062"/>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14</xdr:col>
      <xdr:colOff>511787</xdr:colOff>
      <xdr:row>15</xdr:row>
      <xdr:rowOff>49475</xdr:rowOff>
    </xdr:from>
    <xdr:to>
      <xdr:col>20</xdr:col>
      <xdr:colOff>2034</xdr:colOff>
      <xdr:row>31</xdr:row>
      <xdr:rowOff>170625</xdr:rowOff>
    </xdr:to>
    <xdr:grpSp>
      <xdr:nvGrpSpPr>
        <xdr:cNvPr id="53" name="Group 52">
          <a:extLst>
            <a:ext uri="{FF2B5EF4-FFF2-40B4-BE49-F238E27FC236}">
              <a16:creationId xmlns:a16="http://schemas.microsoft.com/office/drawing/2014/main" id="{22E98C83-CE3F-5124-A84C-8A57904CA2D4}"/>
            </a:ext>
          </a:extLst>
        </xdr:cNvPr>
        <xdr:cNvGrpSpPr/>
      </xdr:nvGrpSpPr>
      <xdr:grpSpPr>
        <a:xfrm>
          <a:off x="9046187" y="2751111"/>
          <a:ext cx="3147847" cy="3002896"/>
          <a:chOff x="9062474" y="2754284"/>
          <a:chExt cx="3154827" cy="3006280"/>
        </a:xfrm>
      </xdr:grpSpPr>
      <xdr:sp macro="" textlink="">
        <xdr:nvSpPr>
          <xdr:cNvPr id="70" name="Rectangle: Rounded Corners 69">
            <a:extLst>
              <a:ext uri="{FF2B5EF4-FFF2-40B4-BE49-F238E27FC236}">
                <a16:creationId xmlns:a16="http://schemas.microsoft.com/office/drawing/2014/main" id="{BF00B042-A4F7-62A1-E60B-FD64633F306A}"/>
              </a:ext>
            </a:extLst>
          </xdr:cNvPr>
          <xdr:cNvSpPr/>
        </xdr:nvSpPr>
        <xdr:spPr>
          <a:xfrm>
            <a:off x="9062474" y="2772520"/>
            <a:ext cx="3152794" cy="2988044"/>
          </a:xfrm>
          <a:prstGeom prst="roundRect">
            <a:avLst>
              <a:gd name="adj" fmla="val 3275"/>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71" name="Rectangle: Rounded Corners 70">
            <a:extLst>
              <a:ext uri="{FF2B5EF4-FFF2-40B4-BE49-F238E27FC236}">
                <a16:creationId xmlns:a16="http://schemas.microsoft.com/office/drawing/2014/main" id="{89D8D684-503A-2CC0-7AA0-D61147EF8E37}"/>
              </a:ext>
            </a:extLst>
          </xdr:cNvPr>
          <xdr:cNvSpPr/>
        </xdr:nvSpPr>
        <xdr:spPr>
          <a:xfrm>
            <a:off x="9065355" y="2754284"/>
            <a:ext cx="3151946" cy="312140"/>
          </a:xfrm>
          <a:prstGeom prst="roundRect">
            <a:avLst>
              <a:gd name="adj" fmla="val 33572"/>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baseline="0"/>
              <a:t>Asset Status Distribution</a:t>
            </a:r>
            <a:endParaRPr lang="en-IN" sz="1200" b="1"/>
          </a:p>
        </xdr:txBody>
      </xdr:sp>
      <xdr:graphicFrame macro="">
        <xdr:nvGraphicFramePr>
          <xdr:cNvPr id="12" name="Chart 11">
            <a:extLst>
              <a:ext uri="{FF2B5EF4-FFF2-40B4-BE49-F238E27FC236}">
                <a16:creationId xmlns:a16="http://schemas.microsoft.com/office/drawing/2014/main" id="{893F87E1-504E-4C47-8BFD-F9B5B3C91A87}"/>
              </a:ext>
            </a:extLst>
          </xdr:cNvPr>
          <xdr:cNvGraphicFramePr>
            <a:graphicFrameLocks/>
          </xdr:cNvGraphicFramePr>
        </xdr:nvGraphicFramePr>
        <xdr:xfrm>
          <a:off x="9082443" y="3094387"/>
          <a:ext cx="3097672" cy="2640234"/>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20</xdr:col>
      <xdr:colOff>69827</xdr:colOff>
      <xdr:row>15</xdr:row>
      <xdr:rowOff>64151</xdr:rowOff>
    </xdr:from>
    <xdr:to>
      <xdr:col>25</xdr:col>
      <xdr:colOff>169674</xdr:colOff>
      <xdr:row>31</xdr:row>
      <xdr:rowOff>170061</xdr:rowOff>
    </xdr:to>
    <xdr:grpSp>
      <xdr:nvGrpSpPr>
        <xdr:cNvPr id="65" name="Group 64">
          <a:extLst>
            <a:ext uri="{FF2B5EF4-FFF2-40B4-BE49-F238E27FC236}">
              <a16:creationId xmlns:a16="http://schemas.microsoft.com/office/drawing/2014/main" id="{930B477F-E100-A1D3-4B01-7344F4E2EFAF}"/>
            </a:ext>
          </a:extLst>
        </xdr:cNvPr>
        <xdr:cNvGrpSpPr/>
      </xdr:nvGrpSpPr>
      <xdr:grpSpPr>
        <a:xfrm>
          <a:off x="12261827" y="2765787"/>
          <a:ext cx="3147847" cy="2987656"/>
          <a:chOff x="12285094" y="2768960"/>
          <a:chExt cx="3153664" cy="2991040"/>
        </a:xfrm>
      </xdr:grpSpPr>
      <xdr:sp macro="" textlink="">
        <xdr:nvSpPr>
          <xdr:cNvPr id="72" name="Rectangle: Rounded Corners 71">
            <a:extLst>
              <a:ext uri="{FF2B5EF4-FFF2-40B4-BE49-F238E27FC236}">
                <a16:creationId xmlns:a16="http://schemas.microsoft.com/office/drawing/2014/main" id="{8B83B34E-3DC4-986D-ECF5-029B56D02BEB}"/>
              </a:ext>
            </a:extLst>
          </xdr:cNvPr>
          <xdr:cNvSpPr/>
        </xdr:nvSpPr>
        <xdr:spPr>
          <a:xfrm>
            <a:off x="12285094" y="2771956"/>
            <a:ext cx="3151631" cy="2988044"/>
          </a:xfrm>
          <a:prstGeom prst="roundRect">
            <a:avLst>
              <a:gd name="adj" fmla="val 3275"/>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73" name="Rectangle: Rounded Corners 72">
            <a:extLst>
              <a:ext uri="{FF2B5EF4-FFF2-40B4-BE49-F238E27FC236}">
                <a16:creationId xmlns:a16="http://schemas.microsoft.com/office/drawing/2014/main" id="{A48BD495-FAAA-E580-E911-C22DC0C78638}"/>
              </a:ext>
            </a:extLst>
          </xdr:cNvPr>
          <xdr:cNvSpPr/>
        </xdr:nvSpPr>
        <xdr:spPr>
          <a:xfrm>
            <a:off x="12287975" y="2768960"/>
            <a:ext cx="3150783" cy="312526"/>
          </a:xfrm>
          <a:prstGeom prst="roundRect">
            <a:avLst>
              <a:gd name="adj" fmla="val 33572"/>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baseline="0"/>
              <a:t>Maintenance Type Distribution</a:t>
            </a:r>
            <a:endParaRPr lang="en-IN" sz="1200" b="1"/>
          </a:p>
        </xdr:txBody>
      </xdr:sp>
      <xdr:graphicFrame macro="">
        <xdr:nvGraphicFramePr>
          <xdr:cNvPr id="13" name="Chart 12">
            <a:extLst>
              <a:ext uri="{FF2B5EF4-FFF2-40B4-BE49-F238E27FC236}">
                <a16:creationId xmlns:a16="http://schemas.microsoft.com/office/drawing/2014/main" id="{26A86B77-6D2E-4401-B83F-2F21668E38F1}"/>
              </a:ext>
            </a:extLst>
          </xdr:cNvPr>
          <xdr:cNvGraphicFramePr>
            <a:graphicFrameLocks/>
          </xdr:cNvGraphicFramePr>
        </xdr:nvGraphicFramePr>
        <xdr:xfrm>
          <a:off x="12314968" y="3099209"/>
          <a:ext cx="3096545" cy="2624804"/>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3</xdr:col>
      <xdr:colOff>269302</xdr:colOff>
      <xdr:row>32</xdr:row>
      <xdr:rowOff>63731</xdr:rowOff>
    </xdr:from>
    <xdr:to>
      <xdr:col>8</xdr:col>
      <xdr:colOff>481514</xdr:colOff>
      <xdr:row>48</xdr:row>
      <xdr:rowOff>169643</xdr:rowOff>
    </xdr:to>
    <xdr:grpSp>
      <xdr:nvGrpSpPr>
        <xdr:cNvPr id="66" name="Group 65">
          <a:extLst>
            <a:ext uri="{FF2B5EF4-FFF2-40B4-BE49-F238E27FC236}">
              <a16:creationId xmlns:a16="http://schemas.microsoft.com/office/drawing/2014/main" id="{86FF18BB-258C-3A3D-D21E-30EF43436EDC}"/>
            </a:ext>
          </a:extLst>
        </xdr:cNvPr>
        <xdr:cNvGrpSpPr/>
      </xdr:nvGrpSpPr>
      <xdr:grpSpPr>
        <a:xfrm>
          <a:off x="2098102" y="5827222"/>
          <a:ext cx="3260212" cy="2987657"/>
          <a:chOff x="2121444" y="5801143"/>
          <a:chExt cx="3275153" cy="2974618"/>
        </a:xfrm>
      </xdr:grpSpPr>
      <xdr:sp macro="" textlink="">
        <xdr:nvSpPr>
          <xdr:cNvPr id="2" name="Rectangle: Rounded Corners 1">
            <a:extLst>
              <a:ext uri="{FF2B5EF4-FFF2-40B4-BE49-F238E27FC236}">
                <a16:creationId xmlns:a16="http://schemas.microsoft.com/office/drawing/2014/main" id="{9B34A3C5-81C8-9E2B-7362-CB750D5B59D2}"/>
              </a:ext>
            </a:extLst>
          </xdr:cNvPr>
          <xdr:cNvSpPr/>
        </xdr:nvSpPr>
        <xdr:spPr>
          <a:xfrm>
            <a:off x="2121444" y="5804139"/>
            <a:ext cx="3273151" cy="2971622"/>
          </a:xfrm>
          <a:prstGeom prst="roundRect">
            <a:avLst>
              <a:gd name="adj" fmla="val 3275"/>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4" name="Rectangle: Rounded Corners 3">
            <a:extLst>
              <a:ext uri="{FF2B5EF4-FFF2-40B4-BE49-F238E27FC236}">
                <a16:creationId xmlns:a16="http://schemas.microsoft.com/office/drawing/2014/main" id="{216B6A37-6B9D-0E56-F037-FF08096B1A90}"/>
              </a:ext>
            </a:extLst>
          </xdr:cNvPr>
          <xdr:cNvSpPr/>
        </xdr:nvSpPr>
        <xdr:spPr>
          <a:xfrm>
            <a:off x="2124325" y="5801143"/>
            <a:ext cx="3272272" cy="310087"/>
          </a:xfrm>
          <a:prstGeom prst="roundRect">
            <a:avLst>
              <a:gd name="adj" fmla="val 33572"/>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Work Orders by Technician</a:t>
            </a:r>
          </a:p>
        </xdr:txBody>
      </xdr:sp>
      <xdr:graphicFrame macro="">
        <xdr:nvGraphicFramePr>
          <xdr:cNvPr id="14" name="Chart 13">
            <a:extLst>
              <a:ext uri="{FF2B5EF4-FFF2-40B4-BE49-F238E27FC236}">
                <a16:creationId xmlns:a16="http://schemas.microsoft.com/office/drawing/2014/main" id="{4C419206-8423-40C0-AF72-889CFB1BAE40}"/>
              </a:ext>
            </a:extLst>
          </xdr:cNvPr>
          <xdr:cNvGraphicFramePr>
            <a:graphicFrameLocks/>
          </xdr:cNvGraphicFramePr>
        </xdr:nvGraphicFramePr>
        <xdr:xfrm>
          <a:off x="2136703" y="6145389"/>
          <a:ext cx="3232926" cy="2584579"/>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8</xdr:col>
      <xdr:colOff>549327</xdr:colOff>
      <xdr:row>32</xdr:row>
      <xdr:rowOff>63912</xdr:rowOff>
    </xdr:from>
    <xdr:to>
      <xdr:col>14</xdr:col>
      <xdr:colOff>186544</xdr:colOff>
      <xdr:row>48</xdr:row>
      <xdr:rowOff>169822</xdr:rowOff>
    </xdr:to>
    <xdr:grpSp>
      <xdr:nvGrpSpPr>
        <xdr:cNvPr id="74" name="Group 73">
          <a:extLst>
            <a:ext uri="{FF2B5EF4-FFF2-40B4-BE49-F238E27FC236}">
              <a16:creationId xmlns:a16="http://schemas.microsoft.com/office/drawing/2014/main" id="{FFE58621-AF77-882C-4D67-6AD5AD2647D2}"/>
            </a:ext>
          </a:extLst>
        </xdr:cNvPr>
        <xdr:cNvGrpSpPr/>
      </xdr:nvGrpSpPr>
      <xdr:grpSpPr>
        <a:xfrm>
          <a:off x="5426127" y="5827403"/>
          <a:ext cx="3294817" cy="2987655"/>
          <a:chOff x="5464410" y="5801324"/>
          <a:chExt cx="3312746" cy="2974616"/>
        </a:xfrm>
      </xdr:grpSpPr>
      <xdr:sp macro="" textlink="">
        <xdr:nvSpPr>
          <xdr:cNvPr id="6" name="Rectangle: Rounded Corners 5">
            <a:extLst>
              <a:ext uri="{FF2B5EF4-FFF2-40B4-BE49-F238E27FC236}">
                <a16:creationId xmlns:a16="http://schemas.microsoft.com/office/drawing/2014/main" id="{6B610430-9A5B-05E9-F817-6B8ACC9BADFF}"/>
              </a:ext>
            </a:extLst>
          </xdr:cNvPr>
          <xdr:cNvSpPr/>
        </xdr:nvSpPr>
        <xdr:spPr>
          <a:xfrm>
            <a:off x="5464410" y="5804320"/>
            <a:ext cx="3310751" cy="2971620"/>
          </a:xfrm>
          <a:prstGeom prst="roundRect">
            <a:avLst>
              <a:gd name="adj" fmla="val 3275"/>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7" name="Rectangle: Rounded Corners 6">
            <a:extLst>
              <a:ext uri="{FF2B5EF4-FFF2-40B4-BE49-F238E27FC236}">
                <a16:creationId xmlns:a16="http://schemas.microsoft.com/office/drawing/2014/main" id="{03A8E93F-00A0-8743-F01B-3FBCB7EDD73B}"/>
              </a:ext>
            </a:extLst>
          </xdr:cNvPr>
          <xdr:cNvSpPr/>
        </xdr:nvSpPr>
        <xdr:spPr>
          <a:xfrm>
            <a:off x="5467291" y="5801324"/>
            <a:ext cx="3309865" cy="310088"/>
          </a:xfrm>
          <a:prstGeom prst="roundRect">
            <a:avLst>
              <a:gd name="adj" fmla="val 33572"/>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baseline="0"/>
              <a:t>Failure Type Analysis</a:t>
            </a:r>
            <a:endParaRPr lang="en-IN" sz="1200" b="1"/>
          </a:p>
        </xdr:txBody>
      </xdr:sp>
      <xdr:graphicFrame macro="">
        <xdr:nvGraphicFramePr>
          <xdr:cNvPr id="23" name="Chart 22">
            <a:extLst>
              <a:ext uri="{FF2B5EF4-FFF2-40B4-BE49-F238E27FC236}">
                <a16:creationId xmlns:a16="http://schemas.microsoft.com/office/drawing/2014/main" id="{3C01B4ED-2512-4097-971C-FDE07978B4D0}"/>
              </a:ext>
            </a:extLst>
          </xdr:cNvPr>
          <xdr:cNvGraphicFramePr>
            <a:graphicFrameLocks/>
          </xdr:cNvGraphicFramePr>
        </xdr:nvGraphicFramePr>
        <xdr:xfrm>
          <a:off x="5486493" y="6123550"/>
          <a:ext cx="3259360" cy="2603903"/>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14</xdr:col>
      <xdr:colOff>251438</xdr:colOff>
      <xdr:row>32</xdr:row>
      <xdr:rowOff>63510</xdr:rowOff>
    </xdr:from>
    <xdr:to>
      <xdr:col>20</xdr:col>
      <xdr:colOff>11720</xdr:colOff>
      <xdr:row>48</xdr:row>
      <xdr:rowOff>169420</xdr:rowOff>
    </xdr:to>
    <xdr:grpSp>
      <xdr:nvGrpSpPr>
        <xdr:cNvPr id="75" name="Group 74">
          <a:extLst>
            <a:ext uri="{FF2B5EF4-FFF2-40B4-BE49-F238E27FC236}">
              <a16:creationId xmlns:a16="http://schemas.microsoft.com/office/drawing/2014/main" id="{A645D91F-DF60-FEEF-0DFB-C944BD91CE65}"/>
            </a:ext>
          </a:extLst>
        </xdr:cNvPr>
        <xdr:cNvGrpSpPr/>
      </xdr:nvGrpSpPr>
      <xdr:grpSpPr>
        <a:xfrm>
          <a:off x="8785838" y="5827001"/>
          <a:ext cx="3417882" cy="2987655"/>
          <a:chOff x="8842050" y="5800922"/>
          <a:chExt cx="3435812" cy="2974616"/>
        </a:xfrm>
      </xdr:grpSpPr>
      <xdr:sp macro="" textlink="">
        <xdr:nvSpPr>
          <xdr:cNvPr id="8" name="Rectangle: Rounded Corners 7">
            <a:extLst>
              <a:ext uri="{FF2B5EF4-FFF2-40B4-BE49-F238E27FC236}">
                <a16:creationId xmlns:a16="http://schemas.microsoft.com/office/drawing/2014/main" id="{7872CD44-76E5-E8F0-80AE-33C7DD8B4A9F}"/>
              </a:ext>
            </a:extLst>
          </xdr:cNvPr>
          <xdr:cNvSpPr/>
        </xdr:nvSpPr>
        <xdr:spPr>
          <a:xfrm>
            <a:off x="8842050" y="5803918"/>
            <a:ext cx="3433780" cy="2971620"/>
          </a:xfrm>
          <a:prstGeom prst="roundRect">
            <a:avLst>
              <a:gd name="adj" fmla="val 3275"/>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9" name="Rectangle: Rounded Corners 8">
            <a:extLst>
              <a:ext uri="{FF2B5EF4-FFF2-40B4-BE49-F238E27FC236}">
                <a16:creationId xmlns:a16="http://schemas.microsoft.com/office/drawing/2014/main" id="{48902CC4-EA15-108C-69BF-8FE6C62E5124}"/>
              </a:ext>
            </a:extLst>
          </xdr:cNvPr>
          <xdr:cNvSpPr/>
        </xdr:nvSpPr>
        <xdr:spPr>
          <a:xfrm>
            <a:off x="8845003" y="5800922"/>
            <a:ext cx="3432859" cy="310088"/>
          </a:xfrm>
          <a:prstGeom prst="roundRect">
            <a:avLst>
              <a:gd name="adj" fmla="val 33572"/>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baseline="0"/>
              <a:t>Maintenance Cost by Department</a:t>
            </a:r>
            <a:endParaRPr lang="en-IN" sz="1200" b="1"/>
          </a:p>
        </xdr:txBody>
      </xdr:sp>
      <xdr:graphicFrame macro="">
        <xdr:nvGraphicFramePr>
          <xdr:cNvPr id="27" name="Chart 26">
            <a:extLst>
              <a:ext uri="{FF2B5EF4-FFF2-40B4-BE49-F238E27FC236}">
                <a16:creationId xmlns:a16="http://schemas.microsoft.com/office/drawing/2014/main" id="{F38D5B3C-F466-4374-903D-D5213C99FFF5}"/>
              </a:ext>
            </a:extLst>
          </xdr:cNvPr>
          <xdr:cNvGraphicFramePr>
            <a:graphicFrameLocks/>
          </xdr:cNvGraphicFramePr>
        </xdr:nvGraphicFramePr>
        <xdr:xfrm>
          <a:off x="8853864" y="6137013"/>
          <a:ext cx="3415622" cy="2610873"/>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20</xdr:col>
      <xdr:colOff>82321</xdr:colOff>
      <xdr:row>32</xdr:row>
      <xdr:rowOff>55488</xdr:rowOff>
    </xdr:from>
    <xdr:to>
      <xdr:col>25</xdr:col>
      <xdr:colOff>184172</xdr:colOff>
      <xdr:row>48</xdr:row>
      <xdr:rowOff>161398</xdr:rowOff>
    </xdr:to>
    <xdr:grpSp>
      <xdr:nvGrpSpPr>
        <xdr:cNvPr id="77" name="Group 76">
          <a:extLst>
            <a:ext uri="{FF2B5EF4-FFF2-40B4-BE49-F238E27FC236}">
              <a16:creationId xmlns:a16="http://schemas.microsoft.com/office/drawing/2014/main" id="{460EEF07-B7BD-705F-2D54-44695F542E33}"/>
            </a:ext>
          </a:extLst>
        </xdr:cNvPr>
        <xdr:cNvGrpSpPr/>
      </xdr:nvGrpSpPr>
      <xdr:grpSpPr>
        <a:xfrm>
          <a:off x="12274321" y="5818979"/>
          <a:ext cx="3149851" cy="2987655"/>
          <a:chOff x="12348463" y="5792900"/>
          <a:chExt cx="3164792" cy="2974616"/>
        </a:xfrm>
      </xdr:grpSpPr>
      <xdr:sp macro="" textlink="">
        <xdr:nvSpPr>
          <xdr:cNvPr id="10" name="Rectangle: Rounded Corners 9">
            <a:extLst>
              <a:ext uri="{FF2B5EF4-FFF2-40B4-BE49-F238E27FC236}">
                <a16:creationId xmlns:a16="http://schemas.microsoft.com/office/drawing/2014/main" id="{5D74E484-078D-0710-0B5B-88F4EBE6454B}"/>
              </a:ext>
            </a:extLst>
          </xdr:cNvPr>
          <xdr:cNvSpPr/>
        </xdr:nvSpPr>
        <xdr:spPr>
          <a:xfrm>
            <a:off x="12348463" y="5795896"/>
            <a:ext cx="3162759" cy="2971620"/>
          </a:xfrm>
          <a:prstGeom prst="roundRect">
            <a:avLst>
              <a:gd name="adj" fmla="val 3275"/>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11" name="Rectangle: Rounded Corners 10">
            <a:extLst>
              <a:ext uri="{FF2B5EF4-FFF2-40B4-BE49-F238E27FC236}">
                <a16:creationId xmlns:a16="http://schemas.microsoft.com/office/drawing/2014/main" id="{CF4EBD5D-D795-54B9-717E-BC72C6801807}"/>
              </a:ext>
            </a:extLst>
          </xdr:cNvPr>
          <xdr:cNvSpPr/>
        </xdr:nvSpPr>
        <xdr:spPr>
          <a:xfrm>
            <a:off x="12351344" y="5792900"/>
            <a:ext cx="3161911" cy="310088"/>
          </a:xfrm>
          <a:prstGeom prst="roundRect">
            <a:avLst>
              <a:gd name="adj" fmla="val 33572"/>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baseline="0"/>
              <a:t>Asset Age Distribution</a:t>
            </a:r>
            <a:endParaRPr lang="en-IN" sz="1200" b="1"/>
          </a:p>
        </xdr:txBody>
      </xdr:sp>
      <xdr:graphicFrame macro="">
        <xdr:nvGraphicFramePr>
          <xdr:cNvPr id="28" name="Chart 27">
            <a:extLst>
              <a:ext uri="{FF2B5EF4-FFF2-40B4-BE49-F238E27FC236}">
                <a16:creationId xmlns:a16="http://schemas.microsoft.com/office/drawing/2014/main" id="{5FE5AE9C-8CFD-40D2-B0ED-6405BE161240}"/>
              </a:ext>
            </a:extLst>
          </xdr:cNvPr>
          <xdr:cNvGraphicFramePr>
            <a:graphicFrameLocks/>
          </xdr:cNvGraphicFramePr>
        </xdr:nvGraphicFramePr>
        <xdr:xfrm>
          <a:off x="12354738" y="6120713"/>
          <a:ext cx="3141200" cy="2617209"/>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1</xdr:col>
      <xdr:colOff>41572</xdr:colOff>
      <xdr:row>49</xdr:row>
      <xdr:rowOff>52048</xdr:rowOff>
    </xdr:from>
    <xdr:to>
      <xdr:col>25</xdr:col>
      <xdr:colOff>183195</xdr:colOff>
      <xdr:row>51</xdr:row>
      <xdr:rowOff>43132</xdr:rowOff>
    </xdr:to>
    <xdr:sp macro="" textlink="">
      <xdr:nvSpPr>
        <xdr:cNvPr id="78" name="Rectangle: Rounded Corners 77">
          <a:extLst>
            <a:ext uri="{FF2B5EF4-FFF2-40B4-BE49-F238E27FC236}">
              <a16:creationId xmlns:a16="http://schemas.microsoft.com/office/drawing/2014/main" id="{FBDA6226-5278-4BAF-88F9-D06245740DF9}"/>
            </a:ext>
          </a:extLst>
        </xdr:cNvPr>
        <xdr:cNvSpPr/>
      </xdr:nvSpPr>
      <xdr:spPr>
        <a:xfrm>
          <a:off x="645421" y="9210425"/>
          <a:ext cx="14634000" cy="364896"/>
        </a:xfrm>
        <a:prstGeom prst="roundRect">
          <a:avLst>
            <a:gd name="adj" fmla="val 33572"/>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baseline="0"/>
            <a:t>KEY INSIGHTS</a:t>
          </a:r>
          <a:endParaRPr lang="en-IN" sz="1400" b="1"/>
        </a:p>
      </xdr:txBody>
    </xdr:sp>
    <xdr:clientData/>
  </xdr:twoCellAnchor>
  <xdr:twoCellAnchor>
    <xdr:from>
      <xdr:col>1</xdr:col>
      <xdr:colOff>47229</xdr:colOff>
      <xdr:row>41</xdr:row>
      <xdr:rowOff>100382</xdr:rowOff>
    </xdr:from>
    <xdr:to>
      <xdr:col>3</xdr:col>
      <xdr:colOff>140063</xdr:colOff>
      <xdr:row>48</xdr:row>
      <xdr:rowOff>141088</xdr:rowOff>
    </xdr:to>
    <xdr:grpSp>
      <xdr:nvGrpSpPr>
        <xdr:cNvPr id="81" name="Group 80">
          <a:extLst>
            <a:ext uri="{FF2B5EF4-FFF2-40B4-BE49-F238E27FC236}">
              <a16:creationId xmlns:a16="http://schemas.microsoft.com/office/drawing/2014/main" id="{279A578C-E577-5D47-0851-C93F21A85B73}"/>
            </a:ext>
          </a:extLst>
        </xdr:cNvPr>
        <xdr:cNvGrpSpPr/>
      </xdr:nvGrpSpPr>
      <xdr:grpSpPr>
        <a:xfrm>
          <a:off x="656829" y="7484855"/>
          <a:ext cx="1312034" cy="1301469"/>
          <a:chOff x="655978" y="7606821"/>
          <a:chExt cx="1310331" cy="1321944"/>
        </a:xfrm>
      </xdr:grpSpPr>
      <xdr:sp macro="" textlink="">
        <xdr:nvSpPr>
          <xdr:cNvPr id="79" name="TextBox 78">
            <a:extLst>
              <a:ext uri="{FF2B5EF4-FFF2-40B4-BE49-F238E27FC236}">
                <a16:creationId xmlns:a16="http://schemas.microsoft.com/office/drawing/2014/main" id="{C1021202-880D-7AC2-790B-26842BF123CC}"/>
              </a:ext>
            </a:extLst>
          </xdr:cNvPr>
          <xdr:cNvSpPr txBox="1"/>
        </xdr:nvSpPr>
        <xdr:spPr>
          <a:xfrm>
            <a:off x="655978" y="7606821"/>
            <a:ext cx="1310331" cy="21044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l"/>
            <a:r>
              <a:rPr lang="en-IN" sz="1100" b="1">
                <a:solidFill>
                  <a:schemeClr val="tx1"/>
                </a:solidFill>
              </a:rPr>
              <a:t>Maintenance Type</a:t>
            </a:r>
          </a:p>
        </xdr:txBody>
      </xdr:sp>
      <mc:AlternateContent xmlns:mc="http://schemas.openxmlformats.org/markup-compatibility/2006" xmlns:a14="http://schemas.microsoft.com/office/drawing/2010/main">
        <mc:Choice Requires="a14">
          <xdr:graphicFrame macro="">
            <xdr:nvGraphicFramePr>
              <xdr:cNvPr id="57" name="Maintenance_Type 1">
                <a:extLst>
                  <a:ext uri="{FF2B5EF4-FFF2-40B4-BE49-F238E27FC236}">
                    <a16:creationId xmlns:a16="http://schemas.microsoft.com/office/drawing/2014/main" id="{EF478029-A4DE-440D-A814-19B07F885D42}"/>
                  </a:ext>
                </a:extLst>
              </xdr:cNvPr>
              <xdr:cNvGraphicFramePr/>
            </xdr:nvGraphicFramePr>
            <xdr:xfrm>
              <a:off x="658438" y="7764870"/>
              <a:ext cx="1306854" cy="1163895"/>
            </xdr:xfrm>
            <a:graphic>
              <a:graphicData uri="http://schemas.microsoft.com/office/drawing/2010/slicer">
                <sle:slicer xmlns:sle="http://schemas.microsoft.com/office/drawing/2010/slicer" name="Maintenance_Type 1"/>
              </a:graphicData>
            </a:graphic>
          </xdr:graphicFrame>
        </mc:Choice>
        <mc:Fallback xmlns="">
          <xdr:sp macro="" textlink="">
            <xdr:nvSpPr>
              <xdr:cNvPr id="0" name=""/>
              <xdr:cNvSpPr>
                <a:spLocks noTextEdit="1"/>
              </xdr:cNvSpPr>
            </xdr:nvSpPr>
            <xdr:spPr>
              <a:xfrm>
                <a:off x="659292" y="7640456"/>
                <a:ext cx="1308552" cy="1145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48659</xdr:colOff>
      <xdr:row>28</xdr:row>
      <xdr:rowOff>45630</xdr:rowOff>
    </xdr:from>
    <xdr:to>
      <xdr:col>3</xdr:col>
      <xdr:colOff>139790</xdr:colOff>
      <xdr:row>41</xdr:row>
      <xdr:rowOff>49443</xdr:rowOff>
    </xdr:to>
    <xdr:grpSp>
      <xdr:nvGrpSpPr>
        <xdr:cNvPr id="82" name="Group 81">
          <a:extLst>
            <a:ext uri="{FF2B5EF4-FFF2-40B4-BE49-F238E27FC236}">
              <a16:creationId xmlns:a16="http://schemas.microsoft.com/office/drawing/2014/main" id="{8CB893D6-DDBF-39EF-226E-8278A70ABEB7}"/>
            </a:ext>
          </a:extLst>
        </xdr:cNvPr>
        <xdr:cNvGrpSpPr/>
      </xdr:nvGrpSpPr>
      <xdr:grpSpPr>
        <a:xfrm>
          <a:off x="658259" y="5088685"/>
          <a:ext cx="1310331" cy="2345231"/>
          <a:chOff x="658261" y="5169703"/>
          <a:chExt cx="1310331" cy="2394674"/>
        </a:xfrm>
      </xdr:grpSpPr>
      <xdr:sp macro="" textlink="">
        <xdr:nvSpPr>
          <xdr:cNvPr id="80" name="TextBox 79">
            <a:extLst>
              <a:ext uri="{FF2B5EF4-FFF2-40B4-BE49-F238E27FC236}">
                <a16:creationId xmlns:a16="http://schemas.microsoft.com/office/drawing/2014/main" id="{6D893EDE-8CE5-1446-FB1F-2B30E77E50A3}"/>
              </a:ext>
            </a:extLst>
          </xdr:cNvPr>
          <xdr:cNvSpPr txBox="1"/>
        </xdr:nvSpPr>
        <xdr:spPr>
          <a:xfrm>
            <a:off x="658261" y="5169703"/>
            <a:ext cx="1310331" cy="21521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l"/>
            <a:r>
              <a:rPr lang="en-IN" sz="1100" b="1">
                <a:solidFill>
                  <a:schemeClr val="tx1"/>
                </a:solidFill>
              </a:rPr>
              <a:t>Machine Type</a:t>
            </a:r>
          </a:p>
        </xdr:txBody>
      </xdr:sp>
      <mc:AlternateContent xmlns:mc="http://schemas.openxmlformats.org/markup-compatibility/2006" xmlns:a14="http://schemas.microsoft.com/office/drawing/2010/main">
        <mc:Choice Requires="a14">
          <xdr:graphicFrame macro="">
            <xdr:nvGraphicFramePr>
              <xdr:cNvPr id="58" name="Machine_Type 1">
                <a:extLst>
                  <a:ext uri="{FF2B5EF4-FFF2-40B4-BE49-F238E27FC236}">
                    <a16:creationId xmlns:a16="http://schemas.microsoft.com/office/drawing/2014/main" id="{E84DE517-EF85-43CD-94AA-0AD1EDCBA747}"/>
                  </a:ext>
                </a:extLst>
              </xdr:cNvPr>
              <xdr:cNvGraphicFramePr/>
            </xdr:nvGraphicFramePr>
            <xdr:xfrm>
              <a:off x="658398" y="5338229"/>
              <a:ext cx="1308557" cy="2226148"/>
            </xdr:xfrm>
            <a:graphic>
              <a:graphicData uri="http://schemas.microsoft.com/office/drawing/2010/slicer">
                <sle:slicer xmlns:sle="http://schemas.microsoft.com/office/drawing/2010/slicer" name="Machine_Type 1"/>
              </a:graphicData>
            </a:graphic>
          </xdr:graphicFrame>
        </mc:Choice>
        <mc:Fallback xmlns="">
          <xdr:sp macro="" textlink="">
            <xdr:nvSpPr>
              <xdr:cNvPr id="0" name=""/>
              <xdr:cNvSpPr>
                <a:spLocks noTextEdit="1"/>
              </xdr:cNvSpPr>
            </xdr:nvSpPr>
            <xdr:spPr>
              <a:xfrm>
                <a:off x="658396" y="5253731"/>
                <a:ext cx="1308557" cy="21801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45015</xdr:colOff>
      <xdr:row>17</xdr:row>
      <xdr:rowOff>164263</xdr:rowOff>
    </xdr:from>
    <xdr:to>
      <xdr:col>3</xdr:col>
      <xdr:colOff>136147</xdr:colOff>
      <xdr:row>27</xdr:row>
      <xdr:rowOff>173461</xdr:rowOff>
    </xdr:to>
    <xdr:grpSp>
      <xdr:nvGrpSpPr>
        <xdr:cNvPr id="84" name="Group 83">
          <a:extLst>
            <a:ext uri="{FF2B5EF4-FFF2-40B4-BE49-F238E27FC236}">
              <a16:creationId xmlns:a16="http://schemas.microsoft.com/office/drawing/2014/main" id="{576970BE-0A94-994A-1AD0-DD452BCB22E7}"/>
            </a:ext>
          </a:extLst>
        </xdr:cNvPr>
        <xdr:cNvGrpSpPr/>
      </xdr:nvGrpSpPr>
      <xdr:grpSpPr>
        <a:xfrm>
          <a:off x="654615" y="3226118"/>
          <a:ext cx="1310332" cy="1810288"/>
          <a:chOff x="654614" y="3265144"/>
          <a:chExt cx="1310331" cy="1848181"/>
        </a:xfrm>
      </xdr:grpSpPr>
      <xdr:sp macro="" textlink="">
        <xdr:nvSpPr>
          <xdr:cNvPr id="83" name="TextBox 82">
            <a:extLst>
              <a:ext uri="{FF2B5EF4-FFF2-40B4-BE49-F238E27FC236}">
                <a16:creationId xmlns:a16="http://schemas.microsoft.com/office/drawing/2014/main" id="{F89430E4-A930-4CCE-897C-71948DE1EA47}"/>
              </a:ext>
            </a:extLst>
          </xdr:cNvPr>
          <xdr:cNvSpPr txBox="1"/>
        </xdr:nvSpPr>
        <xdr:spPr>
          <a:xfrm>
            <a:off x="654614" y="3265144"/>
            <a:ext cx="1310331" cy="20827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l"/>
            <a:r>
              <a:rPr lang="en-IN" sz="1100" b="1">
                <a:solidFill>
                  <a:schemeClr val="tx1"/>
                </a:solidFill>
              </a:rPr>
              <a:t>Department</a:t>
            </a:r>
          </a:p>
        </xdr:txBody>
      </xdr:sp>
      <mc:AlternateContent xmlns:mc="http://schemas.openxmlformats.org/markup-compatibility/2006" xmlns:a14="http://schemas.microsoft.com/office/drawing/2010/main">
        <mc:Choice Requires="a14">
          <xdr:graphicFrame macro="">
            <xdr:nvGraphicFramePr>
              <xdr:cNvPr id="59" name="Department 1">
                <a:extLst>
                  <a:ext uri="{FF2B5EF4-FFF2-40B4-BE49-F238E27FC236}">
                    <a16:creationId xmlns:a16="http://schemas.microsoft.com/office/drawing/2014/main" id="{03E6F32E-3579-470E-8842-9A1DDE52E837}"/>
                  </a:ext>
                </a:extLst>
              </xdr:cNvPr>
              <xdr:cNvGraphicFramePr/>
            </xdr:nvGraphicFramePr>
            <xdr:xfrm>
              <a:off x="655421" y="3419590"/>
              <a:ext cx="1308557" cy="1693735"/>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55422" y="3377397"/>
                <a:ext cx="1308558" cy="1659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47987</xdr:colOff>
      <xdr:row>7</xdr:row>
      <xdr:rowOff>143730</xdr:rowOff>
    </xdr:from>
    <xdr:to>
      <xdr:col>3</xdr:col>
      <xdr:colOff>139121</xdr:colOff>
      <xdr:row>17</xdr:row>
      <xdr:rowOff>128866</xdr:rowOff>
    </xdr:to>
    <xdr:grpSp>
      <xdr:nvGrpSpPr>
        <xdr:cNvPr id="87" name="Group 86">
          <a:extLst>
            <a:ext uri="{FF2B5EF4-FFF2-40B4-BE49-F238E27FC236}">
              <a16:creationId xmlns:a16="http://schemas.microsoft.com/office/drawing/2014/main" id="{647D0D20-37EB-C30D-8C3C-3C1C84868ECD}"/>
            </a:ext>
          </a:extLst>
        </xdr:cNvPr>
        <xdr:cNvGrpSpPr/>
      </xdr:nvGrpSpPr>
      <xdr:grpSpPr>
        <a:xfrm>
          <a:off x="657587" y="1404494"/>
          <a:ext cx="1310334" cy="1786227"/>
          <a:chOff x="657586" y="1369675"/>
          <a:chExt cx="1310331" cy="1824142"/>
        </a:xfrm>
      </xdr:grpSpPr>
      <xdr:sp macro="" textlink="">
        <xdr:nvSpPr>
          <xdr:cNvPr id="86" name="TextBox 85">
            <a:extLst>
              <a:ext uri="{FF2B5EF4-FFF2-40B4-BE49-F238E27FC236}">
                <a16:creationId xmlns:a16="http://schemas.microsoft.com/office/drawing/2014/main" id="{B25FAED9-3AF0-47D5-B6CC-1637B9E1DE02}"/>
              </a:ext>
            </a:extLst>
          </xdr:cNvPr>
          <xdr:cNvSpPr txBox="1"/>
        </xdr:nvSpPr>
        <xdr:spPr>
          <a:xfrm>
            <a:off x="657586" y="1369675"/>
            <a:ext cx="1310331" cy="20230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l"/>
            <a:r>
              <a:rPr lang="en-IN" sz="1100" b="1">
                <a:solidFill>
                  <a:schemeClr val="tx1"/>
                </a:solidFill>
              </a:rPr>
              <a:t>Plant</a:t>
            </a:r>
          </a:p>
        </xdr:txBody>
      </xdr:sp>
      <mc:AlternateContent xmlns:mc="http://schemas.openxmlformats.org/markup-compatibility/2006" xmlns:a14="http://schemas.microsoft.com/office/drawing/2010/main">
        <mc:Choice Requires="a14">
          <xdr:graphicFrame macro="">
            <xdr:nvGraphicFramePr>
              <xdr:cNvPr id="60" name="Plant 1">
                <a:extLst>
                  <a:ext uri="{FF2B5EF4-FFF2-40B4-BE49-F238E27FC236}">
                    <a16:creationId xmlns:a16="http://schemas.microsoft.com/office/drawing/2014/main" id="{1E67D2E4-7642-4358-9D54-3CA7B4813798}"/>
                  </a:ext>
                </a:extLst>
              </xdr:cNvPr>
              <xdr:cNvGraphicFramePr/>
            </xdr:nvGraphicFramePr>
            <xdr:xfrm>
              <a:off x="658642" y="1508874"/>
              <a:ext cx="1308557" cy="1684943"/>
            </xdr:xfrm>
            <a:graphic>
              <a:graphicData uri="http://schemas.microsoft.com/office/drawing/2010/slicer">
                <sle:slicer xmlns:sle="http://schemas.microsoft.com/office/drawing/2010/slicer" name="Plant 1"/>
              </a:graphicData>
            </a:graphic>
          </xdr:graphicFrame>
        </mc:Choice>
        <mc:Fallback xmlns="">
          <xdr:sp macro="" textlink="">
            <xdr:nvSpPr>
              <xdr:cNvPr id="0" name=""/>
              <xdr:cNvSpPr>
                <a:spLocks noTextEdit="1"/>
              </xdr:cNvSpPr>
            </xdr:nvSpPr>
            <xdr:spPr>
              <a:xfrm>
                <a:off x="658643" y="1540800"/>
                <a:ext cx="1308560" cy="1649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122322</xdr:colOff>
      <xdr:row>51</xdr:row>
      <xdr:rowOff>136226</xdr:rowOff>
    </xdr:from>
    <xdr:to>
      <xdr:col>4</xdr:col>
      <xdr:colOff>327522</xdr:colOff>
      <xdr:row>57</xdr:row>
      <xdr:rowOff>102534</xdr:rowOff>
    </xdr:to>
    <xdr:grpSp>
      <xdr:nvGrpSpPr>
        <xdr:cNvPr id="149" name="Group 148">
          <a:extLst>
            <a:ext uri="{FF2B5EF4-FFF2-40B4-BE49-F238E27FC236}">
              <a16:creationId xmlns:a16="http://schemas.microsoft.com/office/drawing/2014/main" id="{556181A5-CE38-BB9C-3A99-15C878367DAD}"/>
            </a:ext>
          </a:extLst>
        </xdr:cNvPr>
        <xdr:cNvGrpSpPr/>
      </xdr:nvGrpSpPr>
      <xdr:grpSpPr>
        <a:xfrm>
          <a:off x="731922" y="9321790"/>
          <a:ext cx="2034000" cy="1046962"/>
          <a:chOff x="654286" y="9625284"/>
          <a:chExt cx="2016747" cy="1087742"/>
        </a:xfrm>
      </xdr:grpSpPr>
      <xdr:sp macro="" textlink="">
        <xdr:nvSpPr>
          <xdr:cNvPr id="99" name="Rectangle: Rounded Corners 98">
            <a:extLst>
              <a:ext uri="{FF2B5EF4-FFF2-40B4-BE49-F238E27FC236}">
                <a16:creationId xmlns:a16="http://schemas.microsoft.com/office/drawing/2014/main" id="{AC33941E-AA51-04A9-64A7-7073E63A3D90}"/>
              </a:ext>
            </a:extLst>
          </xdr:cNvPr>
          <xdr:cNvSpPr/>
        </xdr:nvSpPr>
        <xdr:spPr>
          <a:xfrm>
            <a:off x="654286" y="9625284"/>
            <a:ext cx="2016747" cy="1087742"/>
          </a:xfrm>
          <a:prstGeom prst="roundRect">
            <a:avLst>
              <a:gd name="adj" fmla="val 8070"/>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IN" sz="1000" b="1">
                <a:solidFill>
                  <a:schemeClr val="tx1"/>
                </a:solidFill>
                <a:latin typeface="Segoe UI" panose="020B0502040204020203" pitchFamily="34" charset="0"/>
                <a:ea typeface="Segoe UI Black" panose="020B0A02040204020203" pitchFamily="34" charset="0"/>
                <a:cs typeface="Segoe UI" panose="020B0502040204020203" pitchFamily="34" charset="0"/>
              </a:rPr>
              <a:t>Pune plant has tha highest</a:t>
            </a:r>
            <a:r>
              <a:rPr lang="en-IN" sz="10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 maintenance cost(</a:t>
            </a:r>
            <a:r>
              <a:rPr lang="en-IN" sz="1000" b="1" i="0" baseline="0">
                <a:solidFill>
                  <a:schemeClr val="tx1"/>
                </a:solidFill>
                <a:effectLst/>
              </a:rPr>
              <a:t>₹ </a:t>
            </a:r>
            <a:r>
              <a:rPr lang="en-IN" sz="10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5.21M).</a:t>
            </a:r>
            <a:endParaRPr lang="en-IN" sz="1000" b="1">
              <a:solidFill>
                <a:schemeClr val="tx1"/>
              </a:solidFill>
              <a:latin typeface="Segoe UI" panose="020B0502040204020203" pitchFamily="34" charset="0"/>
              <a:ea typeface="Segoe UI Black" panose="020B0A02040204020203" pitchFamily="34" charset="0"/>
              <a:cs typeface="Segoe UI" panose="020B0502040204020203" pitchFamily="34" charset="0"/>
            </a:endParaRPr>
          </a:p>
        </xdr:txBody>
      </xdr:sp>
      <xdr:pic>
        <xdr:nvPicPr>
          <xdr:cNvPr id="136" name="Picture 135">
            <a:extLst>
              <a:ext uri="{FF2B5EF4-FFF2-40B4-BE49-F238E27FC236}">
                <a16:creationId xmlns:a16="http://schemas.microsoft.com/office/drawing/2014/main" id="{8B9AAEAF-F8FA-F592-FCFA-A77ADAF604E3}"/>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739849" y="9832994"/>
            <a:ext cx="503977" cy="640755"/>
          </a:xfrm>
          <a:prstGeom prst="rect">
            <a:avLst/>
          </a:prstGeom>
        </xdr:spPr>
      </xdr:pic>
    </xdr:grpSp>
    <xdr:clientData/>
  </xdr:twoCellAnchor>
  <xdr:twoCellAnchor>
    <xdr:from>
      <xdr:col>4</xdr:col>
      <xdr:colOff>385558</xdr:colOff>
      <xdr:row>51</xdr:row>
      <xdr:rowOff>135703</xdr:rowOff>
    </xdr:from>
    <xdr:to>
      <xdr:col>7</xdr:col>
      <xdr:colOff>590758</xdr:colOff>
      <xdr:row>57</xdr:row>
      <xdr:rowOff>102011</xdr:rowOff>
    </xdr:to>
    <xdr:grpSp>
      <xdr:nvGrpSpPr>
        <xdr:cNvPr id="150" name="Group 149">
          <a:extLst>
            <a:ext uri="{FF2B5EF4-FFF2-40B4-BE49-F238E27FC236}">
              <a16:creationId xmlns:a16="http://schemas.microsoft.com/office/drawing/2014/main" id="{34E7BD99-9A01-5BC2-C0D6-56441D0170F4}"/>
            </a:ext>
          </a:extLst>
        </xdr:cNvPr>
        <xdr:cNvGrpSpPr/>
      </xdr:nvGrpSpPr>
      <xdr:grpSpPr>
        <a:xfrm>
          <a:off x="2823958" y="9321267"/>
          <a:ext cx="2034000" cy="1046962"/>
          <a:chOff x="2729069" y="9639138"/>
          <a:chExt cx="2016747" cy="1087742"/>
        </a:xfrm>
      </xdr:grpSpPr>
      <xdr:sp macro="" textlink="">
        <xdr:nvSpPr>
          <xdr:cNvPr id="129" name="Rectangle: Rounded Corners 128">
            <a:extLst>
              <a:ext uri="{FF2B5EF4-FFF2-40B4-BE49-F238E27FC236}">
                <a16:creationId xmlns:a16="http://schemas.microsoft.com/office/drawing/2014/main" id="{5EFF79EA-BEC3-C107-53D2-80A847355544}"/>
              </a:ext>
            </a:extLst>
          </xdr:cNvPr>
          <xdr:cNvSpPr/>
        </xdr:nvSpPr>
        <xdr:spPr>
          <a:xfrm>
            <a:off x="2729069" y="9639138"/>
            <a:ext cx="2016747" cy="1087742"/>
          </a:xfrm>
          <a:prstGeom prst="roundRect">
            <a:avLst>
              <a:gd name="adj" fmla="val 8070"/>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IN" sz="1000" b="1">
                <a:solidFill>
                  <a:schemeClr val="tx1"/>
                </a:solidFill>
                <a:latin typeface="Segoe UI" panose="020B0502040204020203" pitchFamily="34" charset="0"/>
                <a:ea typeface="Segoe UI Black" panose="020B0A02040204020203" pitchFamily="34" charset="0"/>
                <a:cs typeface="Segoe UI" panose="020B0502040204020203" pitchFamily="34" charset="0"/>
              </a:rPr>
              <a:t>Compressor</a:t>
            </a:r>
            <a:r>
              <a:rPr lang="en-IN" sz="10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 machines contribute the highest downtime           (1,604 hours).</a:t>
            </a:r>
            <a:endParaRPr lang="en-IN" sz="1000" b="1">
              <a:solidFill>
                <a:schemeClr val="tx1"/>
              </a:solidFill>
              <a:latin typeface="Segoe UI" panose="020B0502040204020203" pitchFamily="34" charset="0"/>
              <a:ea typeface="Segoe UI Black" panose="020B0A02040204020203" pitchFamily="34" charset="0"/>
              <a:cs typeface="Segoe UI" panose="020B0502040204020203" pitchFamily="34" charset="0"/>
            </a:endParaRPr>
          </a:p>
        </xdr:txBody>
      </xdr:sp>
      <xdr:pic>
        <xdr:nvPicPr>
          <xdr:cNvPr id="138" name="Picture 137">
            <a:extLst>
              <a:ext uri="{FF2B5EF4-FFF2-40B4-BE49-F238E27FC236}">
                <a16:creationId xmlns:a16="http://schemas.microsoft.com/office/drawing/2014/main" id="{59035AD0-FCA1-70DC-733F-7A222BDECD1B}"/>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774120" y="9847780"/>
            <a:ext cx="532811" cy="561566"/>
          </a:xfrm>
          <a:prstGeom prst="rect">
            <a:avLst/>
          </a:prstGeom>
        </xdr:spPr>
      </xdr:pic>
    </xdr:grpSp>
    <xdr:clientData/>
  </xdr:twoCellAnchor>
  <xdr:twoCellAnchor>
    <xdr:from>
      <xdr:col>8</xdr:col>
      <xdr:colOff>44945</xdr:colOff>
      <xdr:row>51</xdr:row>
      <xdr:rowOff>135180</xdr:rowOff>
    </xdr:from>
    <xdr:to>
      <xdr:col>11</xdr:col>
      <xdr:colOff>244394</xdr:colOff>
      <xdr:row>57</xdr:row>
      <xdr:rowOff>101488</xdr:rowOff>
    </xdr:to>
    <xdr:grpSp>
      <xdr:nvGrpSpPr>
        <xdr:cNvPr id="151" name="Group 150">
          <a:extLst>
            <a:ext uri="{FF2B5EF4-FFF2-40B4-BE49-F238E27FC236}">
              <a16:creationId xmlns:a16="http://schemas.microsoft.com/office/drawing/2014/main" id="{8D9769BB-6FF2-E3EC-968F-362F7FB88EA4}"/>
            </a:ext>
          </a:extLst>
        </xdr:cNvPr>
        <xdr:cNvGrpSpPr/>
      </xdr:nvGrpSpPr>
      <xdr:grpSpPr>
        <a:xfrm>
          <a:off x="4921745" y="9320744"/>
          <a:ext cx="2028249" cy="1046962"/>
          <a:chOff x="4803852" y="9652992"/>
          <a:chExt cx="2010997" cy="1087742"/>
        </a:xfrm>
      </xdr:grpSpPr>
      <xdr:sp macro="" textlink="">
        <xdr:nvSpPr>
          <xdr:cNvPr id="130" name="Rectangle: Rounded Corners 129">
            <a:extLst>
              <a:ext uri="{FF2B5EF4-FFF2-40B4-BE49-F238E27FC236}">
                <a16:creationId xmlns:a16="http://schemas.microsoft.com/office/drawing/2014/main" id="{92A4E6BE-DF98-ED12-250E-E86292461E49}"/>
              </a:ext>
            </a:extLst>
          </xdr:cNvPr>
          <xdr:cNvSpPr/>
        </xdr:nvSpPr>
        <xdr:spPr>
          <a:xfrm>
            <a:off x="4803852" y="9652992"/>
            <a:ext cx="2010997" cy="1087742"/>
          </a:xfrm>
          <a:prstGeom prst="roundRect">
            <a:avLst>
              <a:gd name="adj" fmla="val 8070"/>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IN" sz="1000" b="1">
                <a:solidFill>
                  <a:schemeClr val="tx1"/>
                </a:solidFill>
                <a:latin typeface="Segoe UI" panose="020B0502040204020203" pitchFamily="34" charset="0"/>
                <a:ea typeface="Segoe UI Black" panose="020B0A02040204020203" pitchFamily="34" charset="0"/>
                <a:cs typeface="Segoe UI" panose="020B0502040204020203" pitchFamily="34" charset="0"/>
              </a:rPr>
              <a:t>Electrical</a:t>
            </a:r>
            <a:r>
              <a:rPr lang="en-IN" sz="10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 faults are the most common failure type.</a:t>
            </a:r>
            <a:endParaRPr lang="en-IN" sz="1000" b="1">
              <a:solidFill>
                <a:schemeClr val="tx1"/>
              </a:solidFill>
              <a:latin typeface="Segoe UI" panose="020B0502040204020203" pitchFamily="34" charset="0"/>
              <a:ea typeface="Segoe UI Black" panose="020B0A02040204020203" pitchFamily="34" charset="0"/>
              <a:cs typeface="Segoe UI" panose="020B0502040204020203" pitchFamily="34" charset="0"/>
            </a:endParaRPr>
          </a:p>
        </xdr:txBody>
      </xdr:sp>
      <xdr:pic>
        <xdr:nvPicPr>
          <xdr:cNvPr id="140" name="Picture 139">
            <a:extLst>
              <a:ext uri="{FF2B5EF4-FFF2-40B4-BE49-F238E27FC236}">
                <a16:creationId xmlns:a16="http://schemas.microsoft.com/office/drawing/2014/main" id="{D5D9821D-89F1-6419-FA22-54013A890A91}"/>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4861969" y="9870057"/>
            <a:ext cx="540071" cy="561566"/>
          </a:xfrm>
          <a:prstGeom prst="rect">
            <a:avLst/>
          </a:prstGeom>
        </xdr:spPr>
      </xdr:pic>
    </xdr:grpSp>
    <xdr:clientData/>
  </xdr:twoCellAnchor>
  <xdr:twoCellAnchor>
    <xdr:from>
      <xdr:col>14</xdr:col>
      <xdr:colOff>565666</xdr:colOff>
      <xdr:row>51</xdr:row>
      <xdr:rowOff>134134</xdr:rowOff>
    </xdr:from>
    <xdr:to>
      <xdr:col>18</xdr:col>
      <xdr:colOff>161266</xdr:colOff>
      <xdr:row>57</xdr:row>
      <xdr:rowOff>100442</xdr:rowOff>
    </xdr:to>
    <xdr:grpSp>
      <xdr:nvGrpSpPr>
        <xdr:cNvPr id="153" name="Group 152">
          <a:extLst>
            <a:ext uri="{FF2B5EF4-FFF2-40B4-BE49-F238E27FC236}">
              <a16:creationId xmlns:a16="http://schemas.microsoft.com/office/drawing/2014/main" id="{5E99FFCA-7ED8-C755-4AE6-D960906DFEFA}"/>
            </a:ext>
          </a:extLst>
        </xdr:cNvPr>
        <xdr:cNvGrpSpPr/>
      </xdr:nvGrpSpPr>
      <xdr:grpSpPr>
        <a:xfrm>
          <a:off x="9100066" y="9319698"/>
          <a:ext cx="2034000" cy="1046962"/>
          <a:chOff x="8947668" y="9680700"/>
          <a:chExt cx="2010996" cy="1087742"/>
        </a:xfrm>
      </xdr:grpSpPr>
      <xdr:sp macro="" textlink="">
        <xdr:nvSpPr>
          <xdr:cNvPr id="132" name="Rectangle: Rounded Corners 131">
            <a:extLst>
              <a:ext uri="{FF2B5EF4-FFF2-40B4-BE49-F238E27FC236}">
                <a16:creationId xmlns:a16="http://schemas.microsoft.com/office/drawing/2014/main" id="{450A6BCE-D3A9-01D5-FCD7-6EE5D127EC76}"/>
              </a:ext>
            </a:extLst>
          </xdr:cNvPr>
          <xdr:cNvSpPr/>
        </xdr:nvSpPr>
        <xdr:spPr>
          <a:xfrm>
            <a:off x="8947668" y="9680700"/>
            <a:ext cx="2010996" cy="1087742"/>
          </a:xfrm>
          <a:prstGeom prst="roundRect">
            <a:avLst>
              <a:gd name="adj" fmla="val 8070"/>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IN" sz="10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Preventive maintenance leads at 50.2%, followed by corrective at 36.3%.</a:t>
            </a:r>
            <a:endParaRPr lang="en-IN" sz="1000" b="1">
              <a:solidFill>
                <a:schemeClr val="tx1"/>
              </a:solidFill>
              <a:latin typeface="Segoe UI" panose="020B0502040204020203" pitchFamily="34" charset="0"/>
              <a:ea typeface="Segoe UI Black" panose="020B0A02040204020203" pitchFamily="34" charset="0"/>
              <a:cs typeface="Segoe UI" panose="020B0502040204020203" pitchFamily="34" charset="0"/>
            </a:endParaRPr>
          </a:p>
        </xdr:txBody>
      </xdr:sp>
      <xdr:pic>
        <xdr:nvPicPr>
          <xdr:cNvPr id="142" name="Picture 141">
            <a:extLst>
              <a:ext uri="{FF2B5EF4-FFF2-40B4-BE49-F238E27FC236}">
                <a16:creationId xmlns:a16="http://schemas.microsoft.com/office/drawing/2014/main" id="{07F20610-8877-7866-5365-6067C90B0FAA}"/>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8972972" y="9920378"/>
            <a:ext cx="532811" cy="561566"/>
          </a:xfrm>
          <a:prstGeom prst="rect">
            <a:avLst/>
          </a:prstGeom>
        </xdr:spPr>
      </xdr:pic>
    </xdr:grpSp>
    <xdr:clientData/>
  </xdr:twoCellAnchor>
  <xdr:twoCellAnchor>
    <xdr:from>
      <xdr:col>11</xdr:col>
      <xdr:colOff>302430</xdr:colOff>
      <xdr:row>51</xdr:row>
      <xdr:rowOff>134657</xdr:rowOff>
    </xdr:from>
    <xdr:to>
      <xdr:col>14</xdr:col>
      <xdr:colOff>507630</xdr:colOff>
      <xdr:row>57</xdr:row>
      <xdr:rowOff>100965</xdr:rowOff>
    </xdr:to>
    <xdr:grpSp>
      <xdr:nvGrpSpPr>
        <xdr:cNvPr id="152" name="Group 151">
          <a:extLst>
            <a:ext uri="{FF2B5EF4-FFF2-40B4-BE49-F238E27FC236}">
              <a16:creationId xmlns:a16="http://schemas.microsoft.com/office/drawing/2014/main" id="{612647AD-1072-CD9E-5ED4-19D0AA356BB4}"/>
            </a:ext>
          </a:extLst>
        </xdr:cNvPr>
        <xdr:cNvGrpSpPr/>
      </xdr:nvGrpSpPr>
      <xdr:grpSpPr>
        <a:xfrm>
          <a:off x="7008030" y="9320221"/>
          <a:ext cx="2034000" cy="1046962"/>
          <a:chOff x="6872885" y="9666846"/>
          <a:chExt cx="2016747" cy="1087742"/>
        </a:xfrm>
      </xdr:grpSpPr>
      <xdr:sp macro="" textlink="">
        <xdr:nvSpPr>
          <xdr:cNvPr id="131" name="Rectangle: Rounded Corners 130">
            <a:extLst>
              <a:ext uri="{FF2B5EF4-FFF2-40B4-BE49-F238E27FC236}">
                <a16:creationId xmlns:a16="http://schemas.microsoft.com/office/drawing/2014/main" id="{A4EC2A6B-AD33-581A-1B62-FC8EFC38D657}"/>
              </a:ext>
            </a:extLst>
          </xdr:cNvPr>
          <xdr:cNvSpPr/>
        </xdr:nvSpPr>
        <xdr:spPr>
          <a:xfrm>
            <a:off x="6872885" y="9666846"/>
            <a:ext cx="2016747" cy="1087742"/>
          </a:xfrm>
          <a:prstGeom prst="roundRect">
            <a:avLst>
              <a:gd name="adj" fmla="val 8070"/>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IN" sz="1000" b="1">
                <a:solidFill>
                  <a:schemeClr val="tx1"/>
                </a:solidFill>
                <a:latin typeface="Segoe UI" panose="020B0502040204020203" pitchFamily="34" charset="0"/>
                <a:ea typeface="Segoe UI Black" panose="020B0A02040204020203" pitchFamily="34" charset="0"/>
                <a:cs typeface="Segoe UI" panose="020B0502040204020203" pitchFamily="34" charset="0"/>
              </a:rPr>
              <a:t>Technician</a:t>
            </a:r>
            <a:r>
              <a:rPr lang="en-IN" sz="10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 Ravi handled the highest number of work orders (177).</a:t>
            </a:r>
            <a:endParaRPr lang="en-IN" sz="1000" b="1">
              <a:solidFill>
                <a:schemeClr val="tx1"/>
              </a:solidFill>
              <a:latin typeface="Segoe UI" panose="020B0502040204020203" pitchFamily="34" charset="0"/>
              <a:ea typeface="Segoe UI Black" panose="020B0A02040204020203" pitchFamily="34" charset="0"/>
              <a:cs typeface="Segoe UI" panose="020B0502040204020203" pitchFamily="34" charset="0"/>
            </a:endParaRPr>
          </a:p>
        </xdr:txBody>
      </xdr:sp>
      <xdr:pic>
        <xdr:nvPicPr>
          <xdr:cNvPr id="144" name="Picture 143">
            <a:extLst>
              <a:ext uri="{FF2B5EF4-FFF2-40B4-BE49-F238E27FC236}">
                <a16:creationId xmlns:a16="http://schemas.microsoft.com/office/drawing/2014/main" id="{B9E28132-6E78-B64D-666E-62413EF36539}"/>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6945333" y="9913189"/>
            <a:ext cx="532811" cy="561566"/>
          </a:xfrm>
          <a:prstGeom prst="rect">
            <a:avLst/>
          </a:prstGeom>
        </xdr:spPr>
      </xdr:pic>
    </xdr:grpSp>
    <xdr:clientData/>
  </xdr:twoCellAnchor>
  <xdr:twoCellAnchor>
    <xdr:from>
      <xdr:col>21</xdr:col>
      <xdr:colOff>482538</xdr:colOff>
      <xdr:row>51</xdr:row>
      <xdr:rowOff>133088</xdr:rowOff>
    </xdr:from>
    <xdr:to>
      <xdr:col>25</xdr:col>
      <xdr:colOff>78138</xdr:colOff>
      <xdr:row>57</xdr:row>
      <xdr:rowOff>99396</xdr:rowOff>
    </xdr:to>
    <xdr:grpSp>
      <xdr:nvGrpSpPr>
        <xdr:cNvPr id="155" name="Group 154">
          <a:extLst>
            <a:ext uri="{FF2B5EF4-FFF2-40B4-BE49-F238E27FC236}">
              <a16:creationId xmlns:a16="http://schemas.microsoft.com/office/drawing/2014/main" id="{6191B0A4-D667-EA07-DF1C-E7128367B4CA}"/>
            </a:ext>
          </a:extLst>
        </xdr:cNvPr>
        <xdr:cNvGrpSpPr/>
      </xdr:nvGrpSpPr>
      <xdr:grpSpPr>
        <a:xfrm>
          <a:off x="13284138" y="9318652"/>
          <a:ext cx="2034000" cy="1046962"/>
          <a:chOff x="13091483" y="9708408"/>
          <a:chExt cx="2010996" cy="1087742"/>
        </a:xfrm>
      </xdr:grpSpPr>
      <xdr:sp macro="" textlink="">
        <xdr:nvSpPr>
          <xdr:cNvPr id="134" name="Rectangle: Rounded Corners 133">
            <a:extLst>
              <a:ext uri="{FF2B5EF4-FFF2-40B4-BE49-F238E27FC236}">
                <a16:creationId xmlns:a16="http://schemas.microsoft.com/office/drawing/2014/main" id="{5236047A-DB39-7BEA-B677-D3AEC4FB2F36}"/>
              </a:ext>
            </a:extLst>
          </xdr:cNvPr>
          <xdr:cNvSpPr/>
        </xdr:nvSpPr>
        <xdr:spPr>
          <a:xfrm>
            <a:off x="13091483" y="9708408"/>
            <a:ext cx="2010996" cy="1087742"/>
          </a:xfrm>
          <a:prstGeom prst="roundRect">
            <a:avLst>
              <a:gd name="adj" fmla="val 8070"/>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IN" sz="10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Active asset rate is 32.2%, with only one-third of assets currently active.</a:t>
            </a:r>
            <a:endParaRPr lang="en-IN" sz="1000" b="1">
              <a:solidFill>
                <a:schemeClr val="tx1"/>
              </a:solidFill>
              <a:latin typeface="Segoe UI" panose="020B0502040204020203" pitchFamily="34" charset="0"/>
              <a:ea typeface="Segoe UI Black" panose="020B0A02040204020203" pitchFamily="34" charset="0"/>
              <a:cs typeface="Segoe UI" panose="020B0502040204020203" pitchFamily="34" charset="0"/>
            </a:endParaRPr>
          </a:p>
        </xdr:txBody>
      </xdr:sp>
      <xdr:pic>
        <xdr:nvPicPr>
          <xdr:cNvPr id="146" name="Picture 145">
            <a:extLst>
              <a:ext uri="{FF2B5EF4-FFF2-40B4-BE49-F238E27FC236}">
                <a16:creationId xmlns:a16="http://schemas.microsoft.com/office/drawing/2014/main" id="{4CA6E840-83B3-41EE-D330-FA48090530E2}"/>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3130372" y="9979666"/>
            <a:ext cx="532811" cy="561566"/>
          </a:xfrm>
          <a:prstGeom prst="rect">
            <a:avLst/>
          </a:prstGeom>
        </xdr:spPr>
      </xdr:pic>
    </xdr:grpSp>
    <xdr:clientData/>
  </xdr:twoCellAnchor>
  <xdr:twoCellAnchor>
    <xdr:from>
      <xdr:col>18</xdr:col>
      <xdr:colOff>219313</xdr:colOff>
      <xdr:row>51</xdr:row>
      <xdr:rowOff>133602</xdr:rowOff>
    </xdr:from>
    <xdr:to>
      <xdr:col>21</xdr:col>
      <xdr:colOff>424515</xdr:colOff>
      <xdr:row>57</xdr:row>
      <xdr:rowOff>99909</xdr:rowOff>
    </xdr:to>
    <xdr:grpSp>
      <xdr:nvGrpSpPr>
        <xdr:cNvPr id="154" name="Group 153">
          <a:extLst>
            <a:ext uri="{FF2B5EF4-FFF2-40B4-BE49-F238E27FC236}">
              <a16:creationId xmlns:a16="http://schemas.microsoft.com/office/drawing/2014/main" id="{F15C5D47-83A0-8569-655B-48DA21EF8684}"/>
            </a:ext>
          </a:extLst>
        </xdr:cNvPr>
        <xdr:cNvGrpSpPr/>
      </xdr:nvGrpSpPr>
      <xdr:grpSpPr>
        <a:xfrm>
          <a:off x="11192113" y="9319166"/>
          <a:ext cx="2034002" cy="1046961"/>
          <a:chOff x="11016700" y="9694554"/>
          <a:chExt cx="2016747" cy="1087742"/>
        </a:xfrm>
      </xdr:grpSpPr>
      <xdr:sp macro="" textlink="">
        <xdr:nvSpPr>
          <xdr:cNvPr id="133" name="Rectangle: Rounded Corners 132">
            <a:extLst>
              <a:ext uri="{FF2B5EF4-FFF2-40B4-BE49-F238E27FC236}">
                <a16:creationId xmlns:a16="http://schemas.microsoft.com/office/drawing/2014/main" id="{04EB4BA2-B6C6-148C-8DDD-4610B4478673}"/>
              </a:ext>
            </a:extLst>
          </xdr:cNvPr>
          <xdr:cNvSpPr/>
        </xdr:nvSpPr>
        <xdr:spPr>
          <a:xfrm>
            <a:off x="11016700" y="9694554"/>
            <a:ext cx="2016747" cy="1087742"/>
          </a:xfrm>
          <a:prstGeom prst="roundRect">
            <a:avLst>
              <a:gd name="adj" fmla="val 8070"/>
            </a:avLst>
          </a:prstGeom>
          <a:solidFill>
            <a:schemeClr val="bg1"/>
          </a:solidFill>
          <a:ln>
            <a:noFill/>
          </a:ln>
          <a:effectLst>
            <a:glow rad="381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IN" sz="10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Asset aged 1-4 years account for 36.2% of the total assets.</a:t>
            </a:r>
            <a:endParaRPr lang="en-IN" sz="1000" b="1">
              <a:solidFill>
                <a:schemeClr val="tx1"/>
              </a:solidFill>
              <a:latin typeface="Segoe UI" panose="020B0502040204020203" pitchFamily="34" charset="0"/>
              <a:ea typeface="Segoe UI Black" panose="020B0A02040204020203" pitchFamily="34" charset="0"/>
              <a:cs typeface="Segoe UI" panose="020B0502040204020203" pitchFamily="34" charset="0"/>
            </a:endParaRPr>
          </a:p>
        </xdr:txBody>
      </xdr:sp>
      <xdr:pic>
        <xdr:nvPicPr>
          <xdr:cNvPr id="148" name="Picture 147">
            <a:extLst>
              <a:ext uri="{FF2B5EF4-FFF2-40B4-BE49-F238E27FC236}">
                <a16:creationId xmlns:a16="http://schemas.microsoft.com/office/drawing/2014/main" id="{D8EDAA0F-4417-B2A9-0049-0FC1977C6A06}"/>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1072487" y="9948776"/>
            <a:ext cx="532811" cy="561566"/>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 refreshedDate="46242.60382546296" createdVersion="8" refreshedVersion="8" minRefreshableVersion="3" recordCount="1000" xr:uid="{924B8FBC-7695-408B-A6B5-8ACF11F6EC89}">
  <cacheSource type="worksheet">
    <worksheetSource name="Table1"/>
  </cacheSource>
  <cacheFields count="18">
    <cacheField name="Asset_ID" numFmtId="0">
      <sharedItems/>
    </cacheField>
    <cacheField name="Plant" numFmtId="0">
      <sharedItems count="5">
        <s v="Hyderabad"/>
        <s v="Chennai"/>
        <s v="Bengaluru"/>
        <s v="Vizag"/>
        <s v="Pune"/>
      </sharedItems>
    </cacheField>
    <cacheField name="Department" numFmtId="0">
      <sharedItems count="5">
        <s v="Packaging"/>
        <s v="Utilities"/>
        <s v="Production"/>
        <s v="Quality"/>
        <s v="Assembly"/>
      </sharedItems>
    </cacheField>
    <cacheField name="Machine_Type" numFmtId="0">
      <sharedItems count="7">
        <s v="Compressor"/>
        <s v="Conveyor"/>
        <s v="Robot Arm"/>
        <s v="Pump"/>
        <s v="CNC Machine"/>
        <s v="Boiler"/>
        <s v="Generator"/>
      </sharedItems>
    </cacheField>
    <cacheField name="Asset_Name" numFmtId="0">
      <sharedItems/>
    </cacheField>
    <cacheField name="Installation_Year" numFmtId="0">
      <sharedItems containsSemiMixedTypes="0" containsString="0" containsNumber="1" containsInteger="1" minValue="2014" maxValue="2025"/>
    </cacheField>
    <cacheField name="Maintenance_Date" numFmtId="0">
      <sharedItems/>
    </cacheField>
    <cacheField name="Maintenance_Type" numFmtId="0">
      <sharedItems count="3">
        <s v="Preventive"/>
        <s v="Corrective"/>
        <s v="Predictive"/>
      </sharedItems>
    </cacheField>
    <cacheField name="Failure_Type" numFmtId="0">
      <sharedItems count="6">
        <s v="No Failure"/>
        <s v="Bearing Failure"/>
        <s v="Sensor Fault"/>
        <s v="Motor Failure"/>
        <s v="Overheating"/>
        <s v="Electrical Fault"/>
      </sharedItems>
    </cacheField>
    <cacheField name="Downtime_Hours" numFmtId="0">
      <sharedItems containsSemiMixedTypes="0" containsString="0" containsNumber="1" minValue="0.5" maxValue="18"/>
    </cacheField>
    <cacheField name="Repair_Cost_INR" numFmtId="0">
      <sharedItems containsSemiMixedTypes="0" containsString="0" containsNumber="1" containsInteger="1" minValue="1555" maxValue="44995"/>
    </cacheField>
    <cacheField name="Technician" numFmtId="0">
      <sharedItems count="6">
        <s v="Ravi"/>
        <s v="Priya"/>
        <s v="Meena"/>
        <s v="Anil"/>
        <s v="Kumar"/>
        <s v="Rahul"/>
      </sharedItems>
    </cacheField>
    <cacheField name="Priority" numFmtId="0">
      <sharedItems/>
    </cacheField>
    <cacheField name="Work_Order_Status" numFmtId="0">
      <sharedItems/>
    </cacheField>
    <cacheField name="Asset_Status" numFmtId="0">
      <sharedItems count="3">
        <s v="Active"/>
        <s v="Idle"/>
        <s v="Under Maintenance"/>
      </sharedItems>
    </cacheField>
    <cacheField name="Spare_Part_Used" numFmtId="0">
      <sharedItems/>
    </cacheField>
    <cacheField name="Repair_Time_Hours" numFmtId="0">
      <sharedItems containsSemiMixedTypes="0" containsString="0" containsNumber="1" minValue="0.5" maxValue="10"/>
    </cacheField>
    <cacheField name="Asset_Age_Years" numFmtId="0">
      <sharedItems containsSemiMixedTypes="0" containsString="0" containsNumber="1" containsInteger="1" minValue="1" maxValue="12" count="12">
        <n v="2"/>
        <n v="4"/>
        <n v="8"/>
        <n v="6"/>
        <n v="3"/>
        <n v="7"/>
        <n v="10"/>
        <n v="9"/>
        <n v="5"/>
        <n v="12"/>
        <n v="11"/>
        <n v="1"/>
      </sharedItems>
    </cacheField>
  </cacheFields>
  <extLst>
    <ext xmlns:x14="http://schemas.microsoft.com/office/spreadsheetml/2009/9/main" uri="{725AE2AE-9491-48be-B2B4-4EB974FC3084}">
      <x14:pivotCacheDefinition pivotCacheId="20674651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AST1001"/>
    <x v="0"/>
    <x v="0"/>
    <x v="0"/>
    <s v="Machine-1"/>
    <n v="2024"/>
    <s v="2026-01-29"/>
    <x v="0"/>
    <x v="0"/>
    <n v="2.2999999999999998"/>
    <n v="37241"/>
    <x v="0"/>
    <s v="Critical"/>
    <s v="Completed"/>
    <x v="0"/>
    <s v="Bearing"/>
    <n v="2.6"/>
    <x v="0"/>
  </r>
  <r>
    <s v="AST1002"/>
    <x v="0"/>
    <x v="1"/>
    <x v="0"/>
    <s v="Machine-2"/>
    <n v="2022"/>
    <s v="2026-06-04"/>
    <x v="1"/>
    <x v="0"/>
    <n v="10"/>
    <n v="15946"/>
    <x v="1"/>
    <s v="High"/>
    <s v="Completed"/>
    <x v="0"/>
    <s v="None"/>
    <n v="4.5"/>
    <x v="1"/>
  </r>
  <r>
    <s v="AST1003"/>
    <x v="1"/>
    <x v="0"/>
    <x v="1"/>
    <s v="Machine-3"/>
    <n v="2018"/>
    <s v="2026-02-09"/>
    <x v="0"/>
    <x v="1"/>
    <n v="6.8"/>
    <n v="24041"/>
    <x v="2"/>
    <s v="High"/>
    <s v="Completed"/>
    <x v="1"/>
    <s v="Valve"/>
    <n v="5.6"/>
    <x v="2"/>
  </r>
  <r>
    <s v="AST1004"/>
    <x v="2"/>
    <x v="0"/>
    <x v="2"/>
    <s v="Machine-4"/>
    <n v="2020"/>
    <s v="2026-01-21"/>
    <x v="1"/>
    <x v="2"/>
    <n v="10.6"/>
    <n v="6058"/>
    <x v="0"/>
    <s v="Medium"/>
    <s v="In Progress"/>
    <x v="0"/>
    <s v="Motor"/>
    <n v="8.6999999999999993"/>
    <x v="3"/>
  </r>
  <r>
    <s v="AST1005"/>
    <x v="3"/>
    <x v="0"/>
    <x v="0"/>
    <s v="Machine-5"/>
    <n v="2020"/>
    <s v="2026-03-13"/>
    <x v="0"/>
    <x v="3"/>
    <n v="12.2"/>
    <n v="43969"/>
    <x v="0"/>
    <s v="Medium"/>
    <s v="Pending"/>
    <x v="1"/>
    <s v="Motor"/>
    <n v="2.1"/>
    <x v="3"/>
  </r>
  <r>
    <s v="AST1006"/>
    <x v="2"/>
    <x v="2"/>
    <x v="3"/>
    <s v="Machine-6"/>
    <n v="2020"/>
    <s v="2026-03-11"/>
    <x v="0"/>
    <x v="1"/>
    <n v="4.5"/>
    <n v="3603"/>
    <x v="3"/>
    <s v="Critical"/>
    <s v="In Progress"/>
    <x v="0"/>
    <s v="Motor"/>
    <n v="9.1999999999999993"/>
    <x v="3"/>
  </r>
  <r>
    <s v="AST1007"/>
    <x v="4"/>
    <x v="2"/>
    <x v="3"/>
    <s v="Machine-7"/>
    <n v="2023"/>
    <s v="2026-07-03"/>
    <x v="0"/>
    <x v="0"/>
    <n v="8.5"/>
    <n v="18859"/>
    <x v="4"/>
    <s v="Medium"/>
    <s v="Pending"/>
    <x v="1"/>
    <s v="Belt"/>
    <n v="3"/>
    <x v="4"/>
  </r>
  <r>
    <s v="AST1008"/>
    <x v="2"/>
    <x v="3"/>
    <x v="4"/>
    <s v="Machine-8"/>
    <n v="2023"/>
    <s v="2026-04-20"/>
    <x v="0"/>
    <x v="3"/>
    <n v="9.4"/>
    <n v="7457"/>
    <x v="0"/>
    <s v="Low"/>
    <s v="Completed"/>
    <x v="1"/>
    <s v="Motor"/>
    <n v="8"/>
    <x v="4"/>
  </r>
  <r>
    <s v="AST1009"/>
    <x v="0"/>
    <x v="3"/>
    <x v="5"/>
    <s v="Machine-9"/>
    <n v="2020"/>
    <s v="2026-06-02"/>
    <x v="1"/>
    <x v="4"/>
    <n v="9.8000000000000007"/>
    <n v="37756"/>
    <x v="0"/>
    <s v="Low"/>
    <s v="Pending"/>
    <x v="1"/>
    <s v="Sensor"/>
    <n v="7.8"/>
    <x v="3"/>
  </r>
  <r>
    <s v="AST1010"/>
    <x v="4"/>
    <x v="3"/>
    <x v="0"/>
    <s v="Machine-10"/>
    <n v="2019"/>
    <s v="2026-01-29"/>
    <x v="0"/>
    <x v="0"/>
    <n v="15.8"/>
    <n v="18761"/>
    <x v="2"/>
    <s v="Medium"/>
    <s v="Pending"/>
    <x v="0"/>
    <s v="None"/>
    <n v="3.3"/>
    <x v="5"/>
  </r>
  <r>
    <s v="AST1011"/>
    <x v="2"/>
    <x v="2"/>
    <x v="0"/>
    <s v="Machine-11"/>
    <n v="2024"/>
    <s v="2026-05-10"/>
    <x v="0"/>
    <x v="3"/>
    <n v="9.9"/>
    <n v="36257"/>
    <x v="0"/>
    <s v="High"/>
    <s v="In Progress"/>
    <x v="0"/>
    <s v="Bearing"/>
    <n v="9.3000000000000007"/>
    <x v="0"/>
  </r>
  <r>
    <s v="AST1012"/>
    <x v="0"/>
    <x v="2"/>
    <x v="6"/>
    <s v="Machine-12"/>
    <n v="2018"/>
    <s v="2026-03-03"/>
    <x v="2"/>
    <x v="1"/>
    <n v="13.3"/>
    <n v="6035"/>
    <x v="2"/>
    <s v="Medium"/>
    <s v="Completed"/>
    <x v="1"/>
    <s v="Valve"/>
    <n v="9.5"/>
    <x v="2"/>
  </r>
  <r>
    <s v="AST1013"/>
    <x v="2"/>
    <x v="1"/>
    <x v="5"/>
    <s v="Machine-13"/>
    <n v="2016"/>
    <s v="2026-03-09"/>
    <x v="2"/>
    <x v="5"/>
    <n v="13.7"/>
    <n v="14682"/>
    <x v="5"/>
    <s v="High"/>
    <s v="In Progress"/>
    <x v="1"/>
    <s v="None"/>
    <n v="4"/>
    <x v="6"/>
  </r>
  <r>
    <s v="AST1014"/>
    <x v="0"/>
    <x v="2"/>
    <x v="0"/>
    <s v="Machine-14"/>
    <n v="2022"/>
    <s v="2026-04-26"/>
    <x v="0"/>
    <x v="1"/>
    <n v="10.8"/>
    <n v="16580"/>
    <x v="2"/>
    <s v="Medium"/>
    <s v="Completed"/>
    <x v="0"/>
    <s v="None"/>
    <n v="6.5"/>
    <x v="1"/>
  </r>
  <r>
    <s v="AST1015"/>
    <x v="0"/>
    <x v="0"/>
    <x v="1"/>
    <s v="Machine-15"/>
    <n v="2017"/>
    <s v="2026-01-18"/>
    <x v="1"/>
    <x v="2"/>
    <n v="12.2"/>
    <n v="15540"/>
    <x v="2"/>
    <s v="Medium"/>
    <s v="Pending"/>
    <x v="1"/>
    <s v="Belt"/>
    <n v="5"/>
    <x v="7"/>
  </r>
  <r>
    <s v="AST1016"/>
    <x v="3"/>
    <x v="2"/>
    <x v="1"/>
    <s v="Machine-16"/>
    <n v="2021"/>
    <s v="2026-07-26"/>
    <x v="0"/>
    <x v="4"/>
    <n v="6.7"/>
    <n v="28441"/>
    <x v="1"/>
    <s v="Low"/>
    <s v="Pending"/>
    <x v="1"/>
    <s v="None"/>
    <n v="1.4"/>
    <x v="8"/>
  </r>
  <r>
    <s v="AST1017"/>
    <x v="4"/>
    <x v="4"/>
    <x v="0"/>
    <s v="Machine-17"/>
    <n v="2020"/>
    <s v="2026-07-06"/>
    <x v="0"/>
    <x v="5"/>
    <n v="8.4"/>
    <n v="29148"/>
    <x v="4"/>
    <s v="High"/>
    <s v="In Progress"/>
    <x v="0"/>
    <s v="Bearing"/>
    <n v="4.7"/>
    <x v="3"/>
  </r>
  <r>
    <s v="AST1018"/>
    <x v="0"/>
    <x v="1"/>
    <x v="2"/>
    <s v="Machine-18"/>
    <n v="2022"/>
    <s v="2026-01-26"/>
    <x v="0"/>
    <x v="1"/>
    <n v="16.7"/>
    <n v="16991"/>
    <x v="4"/>
    <s v="Critical"/>
    <s v="In Progress"/>
    <x v="2"/>
    <s v="Motor"/>
    <n v="8.6999999999999993"/>
    <x v="1"/>
  </r>
  <r>
    <s v="AST1019"/>
    <x v="3"/>
    <x v="4"/>
    <x v="5"/>
    <s v="Machine-19"/>
    <n v="2014"/>
    <s v="2026-02-12"/>
    <x v="0"/>
    <x v="4"/>
    <n v="5.5"/>
    <n v="37922"/>
    <x v="5"/>
    <s v="Critical"/>
    <s v="Completed"/>
    <x v="0"/>
    <s v="Sensor"/>
    <n v="2.6"/>
    <x v="9"/>
  </r>
  <r>
    <s v="AST1020"/>
    <x v="2"/>
    <x v="4"/>
    <x v="3"/>
    <s v="Machine-20"/>
    <n v="2014"/>
    <s v="2026-05-29"/>
    <x v="0"/>
    <x v="1"/>
    <n v="10.7"/>
    <n v="34454"/>
    <x v="2"/>
    <s v="Medium"/>
    <s v="Completed"/>
    <x v="1"/>
    <s v="Bearing"/>
    <n v="8.6"/>
    <x v="9"/>
  </r>
  <r>
    <s v="AST1021"/>
    <x v="0"/>
    <x v="2"/>
    <x v="5"/>
    <s v="Machine-21"/>
    <n v="2015"/>
    <s v="2026-06-02"/>
    <x v="0"/>
    <x v="5"/>
    <n v="4.8"/>
    <n v="40462"/>
    <x v="0"/>
    <s v="Low"/>
    <s v="In Progress"/>
    <x v="1"/>
    <s v="Belt"/>
    <n v="5.9"/>
    <x v="10"/>
  </r>
  <r>
    <s v="AST1022"/>
    <x v="1"/>
    <x v="0"/>
    <x v="0"/>
    <s v="Machine-22"/>
    <n v="2019"/>
    <s v="2026-03-08"/>
    <x v="0"/>
    <x v="3"/>
    <n v="12.3"/>
    <n v="21160"/>
    <x v="1"/>
    <s v="High"/>
    <s v="Completed"/>
    <x v="0"/>
    <s v="Valve"/>
    <n v="6.4"/>
    <x v="5"/>
  </r>
  <r>
    <s v="AST1023"/>
    <x v="0"/>
    <x v="1"/>
    <x v="0"/>
    <s v="Machine-23"/>
    <n v="2023"/>
    <s v="2026-01-26"/>
    <x v="1"/>
    <x v="3"/>
    <n v="16.8"/>
    <n v="6008"/>
    <x v="4"/>
    <s v="High"/>
    <s v="In Progress"/>
    <x v="0"/>
    <s v="Valve"/>
    <n v="8.4"/>
    <x v="4"/>
  </r>
  <r>
    <s v="AST1024"/>
    <x v="2"/>
    <x v="1"/>
    <x v="1"/>
    <s v="Machine-24"/>
    <n v="2025"/>
    <s v="2026-03-19"/>
    <x v="1"/>
    <x v="5"/>
    <n v="5.7"/>
    <n v="44975"/>
    <x v="0"/>
    <s v="Medium"/>
    <s v="In Progress"/>
    <x v="0"/>
    <s v="Bearing"/>
    <n v="7.6"/>
    <x v="11"/>
  </r>
  <r>
    <s v="AST1025"/>
    <x v="4"/>
    <x v="1"/>
    <x v="0"/>
    <s v="Machine-25"/>
    <n v="2016"/>
    <s v="2026-03-11"/>
    <x v="1"/>
    <x v="3"/>
    <n v="12.5"/>
    <n v="18800"/>
    <x v="2"/>
    <s v="Critical"/>
    <s v="In Progress"/>
    <x v="0"/>
    <s v="Bearing"/>
    <n v="6.5"/>
    <x v="6"/>
  </r>
  <r>
    <s v="AST1026"/>
    <x v="0"/>
    <x v="0"/>
    <x v="2"/>
    <s v="Machine-26"/>
    <n v="2018"/>
    <s v="2026-01-12"/>
    <x v="0"/>
    <x v="2"/>
    <n v="3.3"/>
    <n v="30456"/>
    <x v="2"/>
    <s v="Critical"/>
    <s v="Pending"/>
    <x v="0"/>
    <s v="Bearing"/>
    <n v="1.2"/>
    <x v="2"/>
  </r>
  <r>
    <s v="AST1027"/>
    <x v="2"/>
    <x v="4"/>
    <x v="2"/>
    <s v="Machine-27"/>
    <n v="2025"/>
    <s v="2026-02-08"/>
    <x v="0"/>
    <x v="5"/>
    <n v="3.1"/>
    <n v="9852"/>
    <x v="0"/>
    <s v="High"/>
    <s v="In Progress"/>
    <x v="0"/>
    <s v="Sensor"/>
    <n v="2.5"/>
    <x v="11"/>
  </r>
  <r>
    <s v="AST1028"/>
    <x v="0"/>
    <x v="0"/>
    <x v="2"/>
    <s v="Machine-28"/>
    <n v="2017"/>
    <s v="2026-06-20"/>
    <x v="1"/>
    <x v="4"/>
    <n v="17.5"/>
    <n v="11628"/>
    <x v="4"/>
    <s v="Medium"/>
    <s v="Completed"/>
    <x v="2"/>
    <s v="Bearing"/>
    <n v="2.2000000000000002"/>
    <x v="7"/>
  </r>
  <r>
    <s v="AST1029"/>
    <x v="3"/>
    <x v="2"/>
    <x v="4"/>
    <s v="Machine-29"/>
    <n v="2019"/>
    <s v="2026-07-20"/>
    <x v="0"/>
    <x v="0"/>
    <n v="2.4"/>
    <n v="4037"/>
    <x v="1"/>
    <s v="Medium"/>
    <s v="Completed"/>
    <x v="2"/>
    <s v="Sensor"/>
    <n v="3.4"/>
    <x v="5"/>
  </r>
  <r>
    <s v="AST1030"/>
    <x v="0"/>
    <x v="2"/>
    <x v="5"/>
    <s v="Machine-30"/>
    <n v="2017"/>
    <s v="2026-02-27"/>
    <x v="0"/>
    <x v="1"/>
    <n v="17.399999999999999"/>
    <n v="19792"/>
    <x v="3"/>
    <s v="Critical"/>
    <s v="Pending"/>
    <x v="1"/>
    <s v="Sensor"/>
    <n v="9.4"/>
    <x v="7"/>
  </r>
  <r>
    <s v="AST1031"/>
    <x v="1"/>
    <x v="1"/>
    <x v="4"/>
    <s v="Machine-31"/>
    <n v="2015"/>
    <s v="2026-03-08"/>
    <x v="0"/>
    <x v="5"/>
    <n v="8.1"/>
    <n v="22057"/>
    <x v="1"/>
    <s v="Low"/>
    <s v="In Progress"/>
    <x v="1"/>
    <s v="Motor"/>
    <n v="2.9"/>
    <x v="10"/>
  </r>
  <r>
    <s v="AST1032"/>
    <x v="0"/>
    <x v="1"/>
    <x v="2"/>
    <s v="Machine-32"/>
    <n v="2025"/>
    <s v="2026-04-22"/>
    <x v="1"/>
    <x v="0"/>
    <n v="17"/>
    <n v="14412"/>
    <x v="3"/>
    <s v="Critical"/>
    <s v="Completed"/>
    <x v="1"/>
    <s v="Sensor"/>
    <n v="6.4"/>
    <x v="11"/>
  </r>
  <r>
    <s v="AST1033"/>
    <x v="4"/>
    <x v="1"/>
    <x v="4"/>
    <s v="Machine-33"/>
    <n v="2024"/>
    <s v="2026-02-01"/>
    <x v="1"/>
    <x v="2"/>
    <n v="7.5"/>
    <n v="20876"/>
    <x v="2"/>
    <s v="Medium"/>
    <s v="Completed"/>
    <x v="2"/>
    <s v="None"/>
    <n v="9.4"/>
    <x v="0"/>
  </r>
  <r>
    <s v="AST1034"/>
    <x v="1"/>
    <x v="1"/>
    <x v="6"/>
    <s v="Machine-34"/>
    <n v="2024"/>
    <s v="2026-07-11"/>
    <x v="0"/>
    <x v="5"/>
    <n v="15.1"/>
    <n v="21414"/>
    <x v="3"/>
    <s v="Medium"/>
    <s v="In Progress"/>
    <x v="1"/>
    <s v="Belt"/>
    <n v="6.7"/>
    <x v="0"/>
  </r>
  <r>
    <s v="AST1035"/>
    <x v="3"/>
    <x v="2"/>
    <x v="6"/>
    <s v="Machine-35"/>
    <n v="2021"/>
    <s v="2026-04-24"/>
    <x v="0"/>
    <x v="0"/>
    <n v="3.5"/>
    <n v="7057"/>
    <x v="3"/>
    <s v="High"/>
    <s v="Completed"/>
    <x v="0"/>
    <s v="None"/>
    <n v="3.4"/>
    <x v="8"/>
  </r>
  <r>
    <s v="AST1036"/>
    <x v="0"/>
    <x v="4"/>
    <x v="0"/>
    <s v="Machine-36"/>
    <n v="2017"/>
    <s v="2026-02-07"/>
    <x v="2"/>
    <x v="5"/>
    <n v="15.4"/>
    <n v="6272"/>
    <x v="1"/>
    <s v="Critical"/>
    <s v="Pending"/>
    <x v="1"/>
    <s v="Motor"/>
    <n v="7.3"/>
    <x v="7"/>
  </r>
  <r>
    <s v="AST1037"/>
    <x v="3"/>
    <x v="2"/>
    <x v="0"/>
    <s v="Machine-37"/>
    <n v="2020"/>
    <s v="2026-05-07"/>
    <x v="1"/>
    <x v="1"/>
    <n v="16.100000000000001"/>
    <n v="8485"/>
    <x v="1"/>
    <s v="Medium"/>
    <s v="Completed"/>
    <x v="1"/>
    <s v="Belt"/>
    <n v="4.9000000000000004"/>
    <x v="3"/>
  </r>
  <r>
    <s v="AST1038"/>
    <x v="0"/>
    <x v="3"/>
    <x v="0"/>
    <s v="Machine-38"/>
    <n v="2022"/>
    <s v="2026-03-05"/>
    <x v="1"/>
    <x v="0"/>
    <n v="9.8000000000000007"/>
    <n v="38129"/>
    <x v="2"/>
    <s v="High"/>
    <s v="In Progress"/>
    <x v="1"/>
    <s v="None"/>
    <n v="9"/>
    <x v="1"/>
  </r>
  <r>
    <s v="AST1039"/>
    <x v="3"/>
    <x v="2"/>
    <x v="3"/>
    <s v="Machine-39"/>
    <n v="2020"/>
    <s v="2026-05-21"/>
    <x v="2"/>
    <x v="4"/>
    <n v="5"/>
    <n v="17703"/>
    <x v="5"/>
    <s v="High"/>
    <s v="Pending"/>
    <x v="2"/>
    <s v="None"/>
    <n v="2.8"/>
    <x v="3"/>
  </r>
  <r>
    <s v="AST1040"/>
    <x v="4"/>
    <x v="2"/>
    <x v="4"/>
    <s v="Machine-40"/>
    <n v="2021"/>
    <s v="2026-01-20"/>
    <x v="0"/>
    <x v="5"/>
    <n v="1.9"/>
    <n v="11384"/>
    <x v="4"/>
    <s v="Critical"/>
    <s v="Pending"/>
    <x v="0"/>
    <s v="None"/>
    <n v="2.5"/>
    <x v="8"/>
  </r>
  <r>
    <s v="AST1041"/>
    <x v="4"/>
    <x v="1"/>
    <x v="5"/>
    <s v="Machine-41"/>
    <n v="2020"/>
    <s v="2026-04-15"/>
    <x v="0"/>
    <x v="3"/>
    <n v="15.1"/>
    <n v="27024"/>
    <x v="2"/>
    <s v="Low"/>
    <s v="Pending"/>
    <x v="2"/>
    <s v="Valve"/>
    <n v="0.6"/>
    <x v="3"/>
  </r>
  <r>
    <s v="AST1042"/>
    <x v="3"/>
    <x v="3"/>
    <x v="6"/>
    <s v="Machine-42"/>
    <n v="2019"/>
    <s v="2026-03-18"/>
    <x v="1"/>
    <x v="5"/>
    <n v="14.5"/>
    <n v="15953"/>
    <x v="1"/>
    <s v="Medium"/>
    <s v="In Progress"/>
    <x v="2"/>
    <s v="Valve"/>
    <n v="0.8"/>
    <x v="5"/>
  </r>
  <r>
    <s v="AST1043"/>
    <x v="3"/>
    <x v="2"/>
    <x v="2"/>
    <s v="Machine-43"/>
    <n v="2019"/>
    <s v="2026-06-21"/>
    <x v="0"/>
    <x v="3"/>
    <n v="17.7"/>
    <n v="36504"/>
    <x v="0"/>
    <s v="Critical"/>
    <s v="Pending"/>
    <x v="1"/>
    <s v="None"/>
    <n v="0.8"/>
    <x v="5"/>
  </r>
  <r>
    <s v="AST1044"/>
    <x v="1"/>
    <x v="3"/>
    <x v="0"/>
    <s v="Machine-44"/>
    <n v="2024"/>
    <s v="2026-04-20"/>
    <x v="0"/>
    <x v="4"/>
    <n v="6.2"/>
    <n v="31299"/>
    <x v="3"/>
    <s v="High"/>
    <s v="In Progress"/>
    <x v="2"/>
    <s v="Valve"/>
    <n v="2.9"/>
    <x v="0"/>
  </r>
  <r>
    <s v="AST1045"/>
    <x v="0"/>
    <x v="1"/>
    <x v="1"/>
    <s v="Machine-45"/>
    <n v="2015"/>
    <s v="2026-05-01"/>
    <x v="2"/>
    <x v="2"/>
    <n v="4.4000000000000004"/>
    <n v="5996"/>
    <x v="5"/>
    <s v="Low"/>
    <s v="Completed"/>
    <x v="0"/>
    <s v="Motor"/>
    <n v="8.5"/>
    <x v="10"/>
  </r>
  <r>
    <s v="AST1046"/>
    <x v="1"/>
    <x v="2"/>
    <x v="5"/>
    <s v="Machine-46"/>
    <n v="2023"/>
    <s v="2026-02-09"/>
    <x v="1"/>
    <x v="5"/>
    <n v="17.100000000000001"/>
    <n v="31976"/>
    <x v="5"/>
    <s v="High"/>
    <s v="In Progress"/>
    <x v="0"/>
    <s v="Belt"/>
    <n v="6.3"/>
    <x v="4"/>
  </r>
  <r>
    <s v="AST1047"/>
    <x v="0"/>
    <x v="2"/>
    <x v="4"/>
    <s v="Machine-47"/>
    <n v="2025"/>
    <s v="2026-07-03"/>
    <x v="0"/>
    <x v="1"/>
    <n v="16.8"/>
    <n v="39235"/>
    <x v="5"/>
    <s v="Critical"/>
    <s v="In Progress"/>
    <x v="1"/>
    <s v="Motor"/>
    <n v="1.2"/>
    <x v="11"/>
  </r>
  <r>
    <s v="AST1048"/>
    <x v="1"/>
    <x v="4"/>
    <x v="3"/>
    <s v="Machine-48"/>
    <n v="2025"/>
    <s v="2026-06-10"/>
    <x v="1"/>
    <x v="0"/>
    <n v="11"/>
    <n v="9433"/>
    <x v="2"/>
    <s v="Low"/>
    <s v="In Progress"/>
    <x v="1"/>
    <s v="Valve"/>
    <n v="6.8"/>
    <x v="11"/>
  </r>
  <r>
    <s v="AST1049"/>
    <x v="4"/>
    <x v="4"/>
    <x v="2"/>
    <s v="Machine-49"/>
    <n v="2015"/>
    <s v="2026-05-10"/>
    <x v="0"/>
    <x v="4"/>
    <n v="2.2999999999999998"/>
    <n v="25236"/>
    <x v="5"/>
    <s v="Critical"/>
    <s v="Pending"/>
    <x v="0"/>
    <s v="Valve"/>
    <n v="2.2000000000000002"/>
    <x v="10"/>
  </r>
  <r>
    <s v="AST1050"/>
    <x v="4"/>
    <x v="1"/>
    <x v="2"/>
    <s v="Machine-50"/>
    <n v="2022"/>
    <s v="2026-06-16"/>
    <x v="2"/>
    <x v="4"/>
    <n v="8.6"/>
    <n v="40328"/>
    <x v="3"/>
    <s v="High"/>
    <s v="Completed"/>
    <x v="0"/>
    <s v="Sensor"/>
    <n v="8.9"/>
    <x v="1"/>
  </r>
  <r>
    <s v="AST1051"/>
    <x v="3"/>
    <x v="1"/>
    <x v="6"/>
    <s v="Machine-51"/>
    <n v="2017"/>
    <s v="2026-07-12"/>
    <x v="1"/>
    <x v="2"/>
    <n v="1"/>
    <n v="22800"/>
    <x v="4"/>
    <s v="Critical"/>
    <s v="Completed"/>
    <x v="2"/>
    <s v="Sensor"/>
    <n v="3.7"/>
    <x v="7"/>
  </r>
  <r>
    <s v="AST1052"/>
    <x v="4"/>
    <x v="1"/>
    <x v="1"/>
    <s v="Machine-52"/>
    <n v="2023"/>
    <s v="2026-06-29"/>
    <x v="1"/>
    <x v="3"/>
    <n v="2"/>
    <n v="28135"/>
    <x v="1"/>
    <s v="Medium"/>
    <s v="Pending"/>
    <x v="2"/>
    <s v="None"/>
    <n v="7.3"/>
    <x v="4"/>
  </r>
  <r>
    <s v="AST1053"/>
    <x v="0"/>
    <x v="4"/>
    <x v="4"/>
    <s v="Machine-53"/>
    <n v="2021"/>
    <s v="2026-07-22"/>
    <x v="0"/>
    <x v="0"/>
    <n v="4.8"/>
    <n v="39612"/>
    <x v="3"/>
    <s v="Critical"/>
    <s v="Pending"/>
    <x v="1"/>
    <s v="Sensor"/>
    <n v="4.5"/>
    <x v="8"/>
  </r>
  <r>
    <s v="AST1054"/>
    <x v="4"/>
    <x v="0"/>
    <x v="3"/>
    <s v="Machine-54"/>
    <n v="2025"/>
    <s v="2026-05-21"/>
    <x v="0"/>
    <x v="2"/>
    <n v="4.9000000000000004"/>
    <n v="9407"/>
    <x v="5"/>
    <s v="Medium"/>
    <s v="In Progress"/>
    <x v="0"/>
    <s v="None"/>
    <n v="5.6"/>
    <x v="11"/>
  </r>
  <r>
    <s v="AST1055"/>
    <x v="1"/>
    <x v="2"/>
    <x v="3"/>
    <s v="Machine-55"/>
    <n v="2025"/>
    <s v="2026-02-17"/>
    <x v="0"/>
    <x v="0"/>
    <n v="10.8"/>
    <n v="35882"/>
    <x v="2"/>
    <s v="High"/>
    <s v="Completed"/>
    <x v="0"/>
    <s v="Sensor"/>
    <n v="2.7"/>
    <x v="11"/>
  </r>
  <r>
    <s v="AST1056"/>
    <x v="0"/>
    <x v="1"/>
    <x v="0"/>
    <s v="Machine-56"/>
    <n v="2016"/>
    <s v="2026-03-19"/>
    <x v="0"/>
    <x v="1"/>
    <n v="10.199999999999999"/>
    <n v="9775"/>
    <x v="5"/>
    <s v="Critical"/>
    <s v="Completed"/>
    <x v="0"/>
    <s v="Belt"/>
    <n v="3.2"/>
    <x v="6"/>
  </r>
  <r>
    <s v="AST1057"/>
    <x v="4"/>
    <x v="2"/>
    <x v="1"/>
    <s v="Machine-57"/>
    <n v="2021"/>
    <s v="2026-04-23"/>
    <x v="0"/>
    <x v="4"/>
    <n v="2.5"/>
    <n v="5782"/>
    <x v="1"/>
    <s v="Critical"/>
    <s v="Completed"/>
    <x v="1"/>
    <s v="None"/>
    <n v="7"/>
    <x v="8"/>
  </r>
  <r>
    <s v="AST1058"/>
    <x v="2"/>
    <x v="0"/>
    <x v="1"/>
    <s v="Machine-58"/>
    <n v="2016"/>
    <s v="2026-02-08"/>
    <x v="2"/>
    <x v="1"/>
    <n v="10.3"/>
    <n v="28774"/>
    <x v="2"/>
    <s v="Medium"/>
    <s v="Pending"/>
    <x v="2"/>
    <s v="Valve"/>
    <n v="9.1"/>
    <x v="6"/>
  </r>
  <r>
    <s v="AST1059"/>
    <x v="3"/>
    <x v="0"/>
    <x v="6"/>
    <s v="Machine-59"/>
    <n v="2018"/>
    <s v="2026-05-31"/>
    <x v="1"/>
    <x v="5"/>
    <n v="17.3"/>
    <n v="8003"/>
    <x v="4"/>
    <s v="Medium"/>
    <s v="In Progress"/>
    <x v="1"/>
    <s v="Bearing"/>
    <n v="2"/>
    <x v="2"/>
  </r>
  <r>
    <s v="AST1060"/>
    <x v="0"/>
    <x v="2"/>
    <x v="1"/>
    <s v="Machine-60"/>
    <n v="2016"/>
    <s v="2026-05-22"/>
    <x v="0"/>
    <x v="0"/>
    <n v="10.9"/>
    <n v="20587"/>
    <x v="0"/>
    <s v="Medium"/>
    <s v="In Progress"/>
    <x v="1"/>
    <s v="Sensor"/>
    <n v="7.2"/>
    <x v="6"/>
  </r>
  <r>
    <s v="AST1061"/>
    <x v="1"/>
    <x v="0"/>
    <x v="2"/>
    <s v="Machine-61"/>
    <n v="2021"/>
    <s v="2026-01-19"/>
    <x v="1"/>
    <x v="5"/>
    <n v="12.1"/>
    <n v="14464"/>
    <x v="1"/>
    <s v="Low"/>
    <s v="Pending"/>
    <x v="0"/>
    <s v="None"/>
    <n v="1.9"/>
    <x v="8"/>
  </r>
  <r>
    <s v="AST1062"/>
    <x v="0"/>
    <x v="4"/>
    <x v="0"/>
    <s v="Machine-62"/>
    <n v="2018"/>
    <s v="2026-02-06"/>
    <x v="1"/>
    <x v="5"/>
    <n v="13.6"/>
    <n v="38803"/>
    <x v="3"/>
    <s v="Critical"/>
    <s v="Completed"/>
    <x v="2"/>
    <s v="None"/>
    <n v="3.4"/>
    <x v="2"/>
  </r>
  <r>
    <s v="AST1063"/>
    <x v="2"/>
    <x v="1"/>
    <x v="5"/>
    <s v="Machine-63"/>
    <n v="2020"/>
    <s v="2026-03-11"/>
    <x v="0"/>
    <x v="5"/>
    <n v="1.2"/>
    <n v="29813"/>
    <x v="5"/>
    <s v="High"/>
    <s v="Pending"/>
    <x v="2"/>
    <s v="Bearing"/>
    <n v="1.4"/>
    <x v="3"/>
  </r>
  <r>
    <s v="AST1064"/>
    <x v="2"/>
    <x v="4"/>
    <x v="2"/>
    <s v="Machine-64"/>
    <n v="2024"/>
    <s v="2026-05-28"/>
    <x v="1"/>
    <x v="2"/>
    <n v="10.6"/>
    <n v="12981"/>
    <x v="1"/>
    <s v="Critical"/>
    <s v="In Progress"/>
    <x v="0"/>
    <s v="Belt"/>
    <n v="4.5999999999999996"/>
    <x v="0"/>
  </r>
  <r>
    <s v="AST1065"/>
    <x v="3"/>
    <x v="0"/>
    <x v="5"/>
    <s v="Machine-65"/>
    <n v="2021"/>
    <s v="2026-01-24"/>
    <x v="0"/>
    <x v="0"/>
    <n v="2.2999999999999998"/>
    <n v="12039"/>
    <x v="3"/>
    <s v="Critical"/>
    <s v="Pending"/>
    <x v="2"/>
    <s v="Sensor"/>
    <n v="6.8"/>
    <x v="8"/>
  </r>
  <r>
    <s v="AST1066"/>
    <x v="2"/>
    <x v="4"/>
    <x v="5"/>
    <s v="Machine-66"/>
    <n v="2020"/>
    <s v="2026-07-28"/>
    <x v="0"/>
    <x v="2"/>
    <n v="6.2"/>
    <n v="27988"/>
    <x v="2"/>
    <s v="Low"/>
    <s v="Pending"/>
    <x v="1"/>
    <s v="Valve"/>
    <n v="4.4000000000000004"/>
    <x v="3"/>
  </r>
  <r>
    <s v="AST1067"/>
    <x v="4"/>
    <x v="1"/>
    <x v="2"/>
    <s v="Machine-67"/>
    <n v="2017"/>
    <s v="2026-05-13"/>
    <x v="0"/>
    <x v="4"/>
    <n v="13.8"/>
    <n v="14840"/>
    <x v="3"/>
    <s v="Medium"/>
    <s v="In Progress"/>
    <x v="2"/>
    <s v="None"/>
    <n v="5.0999999999999996"/>
    <x v="7"/>
  </r>
  <r>
    <s v="AST1068"/>
    <x v="2"/>
    <x v="2"/>
    <x v="3"/>
    <s v="Machine-68"/>
    <n v="2014"/>
    <s v="2026-06-11"/>
    <x v="0"/>
    <x v="5"/>
    <n v="0.7"/>
    <n v="28238"/>
    <x v="0"/>
    <s v="Medium"/>
    <s v="Completed"/>
    <x v="2"/>
    <s v="Bearing"/>
    <n v="6.7"/>
    <x v="9"/>
  </r>
  <r>
    <s v="AST1069"/>
    <x v="4"/>
    <x v="1"/>
    <x v="3"/>
    <s v="Machine-69"/>
    <n v="2016"/>
    <s v="2026-05-08"/>
    <x v="0"/>
    <x v="4"/>
    <n v="17.7"/>
    <n v="17473"/>
    <x v="1"/>
    <s v="Medium"/>
    <s v="In Progress"/>
    <x v="0"/>
    <s v="Belt"/>
    <n v="5.3"/>
    <x v="6"/>
  </r>
  <r>
    <s v="AST1070"/>
    <x v="4"/>
    <x v="3"/>
    <x v="4"/>
    <s v="Machine-70"/>
    <n v="2016"/>
    <s v="2026-01-18"/>
    <x v="2"/>
    <x v="5"/>
    <n v="5.2"/>
    <n v="1668"/>
    <x v="3"/>
    <s v="High"/>
    <s v="Pending"/>
    <x v="1"/>
    <s v="None"/>
    <n v="5.2"/>
    <x v="6"/>
  </r>
  <r>
    <s v="AST1071"/>
    <x v="2"/>
    <x v="3"/>
    <x v="4"/>
    <s v="Machine-71"/>
    <n v="2016"/>
    <s v="2026-04-25"/>
    <x v="0"/>
    <x v="5"/>
    <n v="7.1"/>
    <n v="22588"/>
    <x v="4"/>
    <s v="Medium"/>
    <s v="Pending"/>
    <x v="2"/>
    <s v="Motor"/>
    <n v="8.6"/>
    <x v="6"/>
  </r>
  <r>
    <s v="AST1072"/>
    <x v="4"/>
    <x v="3"/>
    <x v="3"/>
    <s v="Machine-72"/>
    <n v="2020"/>
    <s v="2026-01-12"/>
    <x v="2"/>
    <x v="4"/>
    <n v="7.3"/>
    <n v="44995"/>
    <x v="5"/>
    <s v="Medium"/>
    <s v="In Progress"/>
    <x v="0"/>
    <s v="Motor"/>
    <n v="5.3"/>
    <x v="3"/>
  </r>
  <r>
    <s v="AST1073"/>
    <x v="0"/>
    <x v="3"/>
    <x v="1"/>
    <s v="Machine-73"/>
    <n v="2023"/>
    <s v="2026-03-26"/>
    <x v="1"/>
    <x v="4"/>
    <n v="0.8"/>
    <n v="10947"/>
    <x v="1"/>
    <s v="Medium"/>
    <s v="Completed"/>
    <x v="2"/>
    <s v="Sensor"/>
    <n v="3.7"/>
    <x v="4"/>
  </r>
  <r>
    <s v="AST1074"/>
    <x v="0"/>
    <x v="0"/>
    <x v="2"/>
    <s v="Machine-74"/>
    <n v="2025"/>
    <s v="2026-04-12"/>
    <x v="1"/>
    <x v="5"/>
    <n v="7.2"/>
    <n v="22252"/>
    <x v="5"/>
    <s v="Critical"/>
    <s v="Pending"/>
    <x v="0"/>
    <s v="Belt"/>
    <n v="1.1000000000000001"/>
    <x v="11"/>
  </r>
  <r>
    <s v="AST1075"/>
    <x v="4"/>
    <x v="2"/>
    <x v="3"/>
    <s v="Machine-75"/>
    <n v="2024"/>
    <s v="2026-06-25"/>
    <x v="0"/>
    <x v="1"/>
    <n v="13.8"/>
    <n v="8086"/>
    <x v="1"/>
    <s v="Medium"/>
    <s v="Pending"/>
    <x v="2"/>
    <s v="Bearing"/>
    <n v="0.9"/>
    <x v="0"/>
  </r>
  <r>
    <s v="AST1076"/>
    <x v="4"/>
    <x v="0"/>
    <x v="5"/>
    <s v="Machine-76"/>
    <n v="2014"/>
    <s v="2026-03-17"/>
    <x v="0"/>
    <x v="5"/>
    <n v="7.7"/>
    <n v="13300"/>
    <x v="4"/>
    <s v="Medium"/>
    <s v="Completed"/>
    <x v="1"/>
    <s v="Valve"/>
    <n v="6.4"/>
    <x v="9"/>
  </r>
  <r>
    <s v="AST1077"/>
    <x v="2"/>
    <x v="2"/>
    <x v="0"/>
    <s v="Machine-77"/>
    <n v="2017"/>
    <s v="2026-05-08"/>
    <x v="0"/>
    <x v="2"/>
    <n v="8.5"/>
    <n v="2115"/>
    <x v="1"/>
    <s v="High"/>
    <s v="Pending"/>
    <x v="1"/>
    <s v="Motor"/>
    <n v="1.2"/>
    <x v="7"/>
  </r>
  <r>
    <s v="AST1078"/>
    <x v="4"/>
    <x v="3"/>
    <x v="3"/>
    <s v="Machine-78"/>
    <n v="2019"/>
    <s v="2026-05-31"/>
    <x v="0"/>
    <x v="2"/>
    <n v="4"/>
    <n v="26711"/>
    <x v="1"/>
    <s v="Low"/>
    <s v="Completed"/>
    <x v="2"/>
    <s v="Belt"/>
    <n v="3.9"/>
    <x v="5"/>
  </r>
  <r>
    <s v="AST1079"/>
    <x v="4"/>
    <x v="4"/>
    <x v="2"/>
    <s v="Machine-79"/>
    <n v="2018"/>
    <s v="2026-06-29"/>
    <x v="1"/>
    <x v="2"/>
    <n v="0.6"/>
    <n v="4714"/>
    <x v="2"/>
    <s v="Critical"/>
    <s v="In Progress"/>
    <x v="0"/>
    <s v="Belt"/>
    <n v="8.1"/>
    <x v="2"/>
  </r>
  <r>
    <s v="AST1080"/>
    <x v="1"/>
    <x v="1"/>
    <x v="4"/>
    <s v="Machine-80"/>
    <n v="2017"/>
    <s v="2026-06-12"/>
    <x v="1"/>
    <x v="0"/>
    <n v="13.9"/>
    <n v="10463"/>
    <x v="5"/>
    <s v="Low"/>
    <s v="Pending"/>
    <x v="1"/>
    <s v="Bearing"/>
    <n v="3.4"/>
    <x v="7"/>
  </r>
  <r>
    <s v="AST1081"/>
    <x v="2"/>
    <x v="0"/>
    <x v="3"/>
    <s v="Machine-81"/>
    <n v="2021"/>
    <s v="2026-01-09"/>
    <x v="0"/>
    <x v="2"/>
    <n v="6.2"/>
    <n v="28730"/>
    <x v="4"/>
    <s v="Medium"/>
    <s v="Completed"/>
    <x v="1"/>
    <s v="Sensor"/>
    <n v="5.5"/>
    <x v="8"/>
  </r>
  <r>
    <s v="AST1082"/>
    <x v="4"/>
    <x v="3"/>
    <x v="2"/>
    <s v="Machine-82"/>
    <n v="2018"/>
    <s v="2026-02-12"/>
    <x v="0"/>
    <x v="2"/>
    <n v="14.6"/>
    <n v="32192"/>
    <x v="0"/>
    <s v="Medium"/>
    <s v="Completed"/>
    <x v="1"/>
    <s v="None"/>
    <n v="6.9"/>
    <x v="2"/>
  </r>
  <r>
    <s v="AST1083"/>
    <x v="2"/>
    <x v="0"/>
    <x v="1"/>
    <s v="Machine-83"/>
    <n v="2020"/>
    <s v="2026-07-25"/>
    <x v="1"/>
    <x v="1"/>
    <n v="5.0999999999999996"/>
    <n v="9599"/>
    <x v="1"/>
    <s v="High"/>
    <s v="Pending"/>
    <x v="1"/>
    <s v="None"/>
    <n v="3"/>
    <x v="3"/>
  </r>
  <r>
    <s v="AST1084"/>
    <x v="4"/>
    <x v="4"/>
    <x v="3"/>
    <s v="Machine-84"/>
    <n v="2020"/>
    <s v="2026-07-30"/>
    <x v="0"/>
    <x v="1"/>
    <n v="11.3"/>
    <n v="38292"/>
    <x v="3"/>
    <s v="Medium"/>
    <s v="Pending"/>
    <x v="0"/>
    <s v="None"/>
    <n v="8.3000000000000007"/>
    <x v="3"/>
  </r>
  <r>
    <s v="AST1085"/>
    <x v="3"/>
    <x v="4"/>
    <x v="0"/>
    <s v="Machine-85"/>
    <n v="2025"/>
    <s v="2026-03-19"/>
    <x v="0"/>
    <x v="1"/>
    <n v="5.8"/>
    <n v="33784"/>
    <x v="0"/>
    <s v="Low"/>
    <s v="Completed"/>
    <x v="1"/>
    <s v="Motor"/>
    <n v="4.2"/>
    <x v="11"/>
  </r>
  <r>
    <s v="AST1086"/>
    <x v="2"/>
    <x v="3"/>
    <x v="6"/>
    <s v="Machine-86"/>
    <n v="2019"/>
    <s v="2026-06-21"/>
    <x v="1"/>
    <x v="3"/>
    <n v="16"/>
    <n v="44420"/>
    <x v="0"/>
    <s v="Critical"/>
    <s v="Pending"/>
    <x v="2"/>
    <s v="Sensor"/>
    <n v="0.8"/>
    <x v="5"/>
  </r>
  <r>
    <s v="AST1087"/>
    <x v="3"/>
    <x v="3"/>
    <x v="0"/>
    <s v="Machine-87"/>
    <n v="2019"/>
    <s v="2026-02-25"/>
    <x v="2"/>
    <x v="1"/>
    <n v="17.7"/>
    <n v="25573"/>
    <x v="2"/>
    <s v="High"/>
    <s v="Completed"/>
    <x v="2"/>
    <s v="Sensor"/>
    <n v="2.2999999999999998"/>
    <x v="5"/>
  </r>
  <r>
    <s v="AST1088"/>
    <x v="3"/>
    <x v="4"/>
    <x v="3"/>
    <s v="Machine-88"/>
    <n v="2015"/>
    <s v="2026-07-30"/>
    <x v="0"/>
    <x v="0"/>
    <n v="11"/>
    <n v="2899"/>
    <x v="0"/>
    <s v="High"/>
    <s v="Completed"/>
    <x v="0"/>
    <s v="Belt"/>
    <n v="2.4"/>
    <x v="10"/>
  </r>
  <r>
    <s v="AST1089"/>
    <x v="2"/>
    <x v="2"/>
    <x v="2"/>
    <s v="Machine-89"/>
    <n v="2022"/>
    <s v="2026-02-23"/>
    <x v="2"/>
    <x v="2"/>
    <n v="14.1"/>
    <n v="40558"/>
    <x v="0"/>
    <s v="High"/>
    <s v="Completed"/>
    <x v="0"/>
    <s v="Belt"/>
    <n v="2.9"/>
    <x v="1"/>
  </r>
  <r>
    <s v="AST1090"/>
    <x v="0"/>
    <x v="2"/>
    <x v="1"/>
    <s v="Machine-90"/>
    <n v="2016"/>
    <s v="2026-01-29"/>
    <x v="0"/>
    <x v="3"/>
    <n v="10.8"/>
    <n v="2534"/>
    <x v="4"/>
    <s v="High"/>
    <s v="Completed"/>
    <x v="0"/>
    <s v="None"/>
    <n v="4.5"/>
    <x v="6"/>
  </r>
  <r>
    <s v="AST1091"/>
    <x v="0"/>
    <x v="3"/>
    <x v="5"/>
    <s v="Machine-91"/>
    <n v="2015"/>
    <s v="2026-07-10"/>
    <x v="1"/>
    <x v="5"/>
    <n v="10.9"/>
    <n v="31122"/>
    <x v="2"/>
    <s v="Medium"/>
    <s v="Pending"/>
    <x v="0"/>
    <s v="None"/>
    <n v="7.9"/>
    <x v="10"/>
  </r>
  <r>
    <s v="AST1092"/>
    <x v="4"/>
    <x v="3"/>
    <x v="3"/>
    <s v="Machine-92"/>
    <n v="2024"/>
    <s v="2026-05-14"/>
    <x v="2"/>
    <x v="1"/>
    <n v="18"/>
    <n v="27820"/>
    <x v="1"/>
    <s v="Low"/>
    <s v="In Progress"/>
    <x v="1"/>
    <s v="Valve"/>
    <n v="1.2"/>
    <x v="0"/>
  </r>
  <r>
    <s v="AST1093"/>
    <x v="2"/>
    <x v="2"/>
    <x v="1"/>
    <s v="Machine-93"/>
    <n v="2015"/>
    <s v="2026-03-24"/>
    <x v="0"/>
    <x v="5"/>
    <n v="11.6"/>
    <n v="37437"/>
    <x v="5"/>
    <s v="High"/>
    <s v="In Progress"/>
    <x v="1"/>
    <s v="Belt"/>
    <n v="3.3"/>
    <x v="10"/>
  </r>
  <r>
    <s v="AST1094"/>
    <x v="3"/>
    <x v="4"/>
    <x v="2"/>
    <s v="Machine-94"/>
    <n v="2022"/>
    <s v="2026-06-04"/>
    <x v="1"/>
    <x v="0"/>
    <n v="11.9"/>
    <n v="37632"/>
    <x v="5"/>
    <s v="Medium"/>
    <s v="In Progress"/>
    <x v="2"/>
    <s v="Motor"/>
    <n v="4.4000000000000004"/>
    <x v="1"/>
  </r>
  <r>
    <s v="AST1095"/>
    <x v="3"/>
    <x v="4"/>
    <x v="4"/>
    <s v="Machine-95"/>
    <n v="2021"/>
    <s v="2026-04-13"/>
    <x v="0"/>
    <x v="0"/>
    <n v="5"/>
    <n v="11503"/>
    <x v="5"/>
    <s v="Critical"/>
    <s v="Completed"/>
    <x v="0"/>
    <s v="Bearing"/>
    <n v="1.4"/>
    <x v="8"/>
  </r>
  <r>
    <s v="AST1096"/>
    <x v="4"/>
    <x v="2"/>
    <x v="6"/>
    <s v="Machine-96"/>
    <n v="2015"/>
    <s v="2026-07-10"/>
    <x v="0"/>
    <x v="5"/>
    <n v="10.3"/>
    <n v="9510"/>
    <x v="1"/>
    <s v="High"/>
    <s v="Pending"/>
    <x v="2"/>
    <s v="None"/>
    <n v="1"/>
    <x v="10"/>
  </r>
  <r>
    <s v="AST1097"/>
    <x v="4"/>
    <x v="0"/>
    <x v="1"/>
    <s v="Machine-97"/>
    <n v="2018"/>
    <s v="2026-06-03"/>
    <x v="1"/>
    <x v="3"/>
    <n v="3.2"/>
    <n v="33100"/>
    <x v="4"/>
    <s v="Low"/>
    <s v="In Progress"/>
    <x v="1"/>
    <s v="Sensor"/>
    <n v="1.6"/>
    <x v="2"/>
  </r>
  <r>
    <s v="AST1098"/>
    <x v="1"/>
    <x v="3"/>
    <x v="2"/>
    <s v="Machine-98"/>
    <n v="2018"/>
    <s v="2026-05-27"/>
    <x v="1"/>
    <x v="5"/>
    <n v="11.2"/>
    <n v="43619"/>
    <x v="2"/>
    <s v="Low"/>
    <s v="Pending"/>
    <x v="1"/>
    <s v="None"/>
    <n v="3"/>
    <x v="2"/>
  </r>
  <r>
    <s v="AST1099"/>
    <x v="4"/>
    <x v="0"/>
    <x v="4"/>
    <s v="Machine-99"/>
    <n v="2016"/>
    <s v="2026-03-11"/>
    <x v="0"/>
    <x v="3"/>
    <n v="10.4"/>
    <n v="27765"/>
    <x v="0"/>
    <s v="Medium"/>
    <s v="Pending"/>
    <x v="1"/>
    <s v="Bearing"/>
    <n v="1.4"/>
    <x v="6"/>
  </r>
  <r>
    <s v="AST1100"/>
    <x v="3"/>
    <x v="3"/>
    <x v="5"/>
    <s v="Machine-100"/>
    <n v="2022"/>
    <s v="2026-02-25"/>
    <x v="0"/>
    <x v="2"/>
    <n v="6"/>
    <n v="22758"/>
    <x v="2"/>
    <s v="Low"/>
    <s v="Completed"/>
    <x v="0"/>
    <s v="Motor"/>
    <n v="7.7"/>
    <x v="1"/>
  </r>
  <r>
    <s v="AST1101"/>
    <x v="0"/>
    <x v="0"/>
    <x v="5"/>
    <s v="Machine-101"/>
    <n v="2014"/>
    <s v="2026-06-22"/>
    <x v="1"/>
    <x v="4"/>
    <n v="11.1"/>
    <n v="28643"/>
    <x v="3"/>
    <s v="Medium"/>
    <s v="Pending"/>
    <x v="0"/>
    <s v="Sensor"/>
    <n v="4.5999999999999996"/>
    <x v="9"/>
  </r>
  <r>
    <s v="AST1102"/>
    <x v="2"/>
    <x v="3"/>
    <x v="6"/>
    <s v="Machine-102"/>
    <n v="2018"/>
    <s v="2026-06-23"/>
    <x v="1"/>
    <x v="1"/>
    <n v="4.4000000000000004"/>
    <n v="40777"/>
    <x v="0"/>
    <s v="Low"/>
    <s v="Completed"/>
    <x v="2"/>
    <s v="Motor"/>
    <n v="7.8"/>
    <x v="2"/>
  </r>
  <r>
    <s v="AST1103"/>
    <x v="4"/>
    <x v="4"/>
    <x v="1"/>
    <s v="Machine-103"/>
    <n v="2018"/>
    <s v="2026-03-16"/>
    <x v="0"/>
    <x v="4"/>
    <n v="3.6"/>
    <n v="26417"/>
    <x v="2"/>
    <s v="Medium"/>
    <s v="Pending"/>
    <x v="1"/>
    <s v="None"/>
    <n v="8.1999999999999993"/>
    <x v="2"/>
  </r>
  <r>
    <s v="AST1104"/>
    <x v="0"/>
    <x v="3"/>
    <x v="1"/>
    <s v="Machine-104"/>
    <n v="2015"/>
    <s v="2026-04-12"/>
    <x v="0"/>
    <x v="1"/>
    <n v="15.6"/>
    <n v="39232"/>
    <x v="1"/>
    <s v="Critical"/>
    <s v="Pending"/>
    <x v="1"/>
    <s v="Valve"/>
    <n v="3.3"/>
    <x v="10"/>
  </r>
  <r>
    <s v="AST1105"/>
    <x v="4"/>
    <x v="2"/>
    <x v="2"/>
    <s v="Machine-105"/>
    <n v="2020"/>
    <s v="2026-01-06"/>
    <x v="2"/>
    <x v="4"/>
    <n v="15.1"/>
    <n v="25214"/>
    <x v="0"/>
    <s v="Critical"/>
    <s v="Completed"/>
    <x v="0"/>
    <s v="Valve"/>
    <n v="6.1"/>
    <x v="3"/>
  </r>
  <r>
    <s v="AST1106"/>
    <x v="3"/>
    <x v="0"/>
    <x v="3"/>
    <s v="Machine-106"/>
    <n v="2022"/>
    <s v="2026-01-21"/>
    <x v="0"/>
    <x v="2"/>
    <n v="14.1"/>
    <n v="6505"/>
    <x v="2"/>
    <s v="Low"/>
    <s v="Pending"/>
    <x v="1"/>
    <s v="Motor"/>
    <n v="9.1"/>
    <x v="1"/>
  </r>
  <r>
    <s v="AST1107"/>
    <x v="1"/>
    <x v="2"/>
    <x v="1"/>
    <s v="Machine-107"/>
    <n v="2019"/>
    <s v="2026-03-31"/>
    <x v="0"/>
    <x v="3"/>
    <n v="3.5"/>
    <n v="11518"/>
    <x v="5"/>
    <s v="Low"/>
    <s v="Completed"/>
    <x v="1"/>
    <s v="Valve"/>
    <n v="4.9000000000000004"/>
    <x v="5"/>
  </r>
  <r>
    <s v="AST1108"/>
    <x v="2"/>
    <x v="3"/>
    <x v="3"/>
    <s v="Machine-108"/>
    <n v="2023"/>
    <s v="2026-07-14"/>
    <x v="2"/>
    <x v="5"/>
    <n v="11.8"/>
    <n v="42428"/>
    <x v="3"/>
    <s v="High"/>
    <s v="Completed"/>
    <x v="2"/>
    <s v="Bearing"/>
    <n v="5"/>
    <x v="4"/>
  </r>
  <r>
    <s v="AST1109"/>
    <x v="4"/>
    <x v="1"/>
    <x v="1"/>
    <s v="Machine-109"/>
    <n v="2024"/>
    <s v="2026-03-19"/>
    <x v="0"/>
    <x v="1"/>
    <n v="5.9"/>
    <n v="31116"/>
    <x v="0"/>
    <s v="Low"/>
    <s v="In Progress"/>
    <x v="2"/>
    <s v="Bearing"/>
    <n v="6.6"/>
    <x v="0"/>
  </r>
  <r>
    <s v="AST1110"/>
    <x v="2"/>
    <x v="1"/>
    <x v="5"/>
    <s v="Machine-110"/>
    <n v="2015"/>
    <s v="2026-06-07"/>
    <x v="0"/>
    <x v="5"/>
    <n v="17.2"/>
    <n v="4188"/>
    <x v="1"/>
    <s v="Medium"/>
    <s v="In Progress"/>
    <x v="1"/>
    <s v="Valve"/>
    <n v="5.3"/>
    <x v="10"/>
  </r>
  <r>
    <s v="AST1111"/>
    <x v="0"/>
    <x v="0"/>
    <x v="3"/>
    <s v="Machine-111"/>
    <n v="2014"/>
    <s v="2026-04-26"/>
    <x v="0"/>
    <x v="0"/>
    <n v="3.5"/>
    <n v="17736"/>
    <x v="5"/>
    <s v="Critical"/>
    <s v="In Progress"/>
    <x v="1"/>
    <s v="Belt"/>
    <n v="6.3"/>
    <x v="9"/>
  </r>
  <r>
    <s v="AST1112"/>
    <x v="4"/>
    <x v="3"/>
    <x v="5"/>
    <s v="Machine-112"/>
    <n v="2019"/>
    <s v="2026-04-06"/>
    <x v="1"/>
    <x v="0"/>
    <n v="11"/>
    <n v="42845"/>
    <x v="5"/>
    <s v="High"/>
    <s v="Completed"/>
    <x v="2"/>
    <s v="Bearing"/>
    <n v="5.8"/>
    <x v="5"/>
  </r>
  <r>
    <s v="AST1113"/>
    <x v="4"/>
    <x v="1"/>
    <x v="2"/>
    <s v="Machine-113"/>
    <n v="2020"/>
    <s v="2026-03-14"/>
    <x v="0"/>
    <x v="1"/>
    <n v="10.7"/>
    <n v="10768"/>
    <x v="3"/>
    <s v="High"/>
    <s v="Pending"/>
    <x v="1"/>
    <s v="None"/>
    <n v="4.2"/>
    <x v="3"/>
  </r>
  <r>
    <s v="AST1114"/>
    <x v="0"/>
    <x v="0"/>
    <x v="6"/>
    <s v="Machine-114"/>
    <n v="2023"/>
    <s v="2026-07-01"/>
    <x v="0"/>
    <x v="2"/>
    <n v="14.7"/>
    <n v="35997"/>
    <x v="0"/>
    <s v="Critical"/>
    <s v="Pending"/>
    <x v="2"/>
    <s v="Bearing"/>
    <n v="3.9"/>
    <x v="4"/>
  </r>
  <r>
    <s v="AST1115"/>
    <x v="4"/>
    <x v="3"/>
    <x v="0"/>
    <s v="Machine-115"/>
    <n v="2016"/>
    <s v="2026-02-24"/>
    <x v="0"/>
    <x v="3"/>
    <n v="3.2"/>
    <n v="20885"/>
    <x v="0"/>
    <s v="Low"/>
    <s v="Pending"/>
    <x v="2"/>
    <s v="Belt"/>
    <n v="1.7"/>
    <x v="6"/>
  </r>
  <r>
    <s v="AST1116"/>
    <x v="1"/>
    <x v="2"/>
    <x v="2"/>
    <s v="Machine-116"/>
    <n v="2020"/>
    <s v="2026-02-09"/>
    <x v="1"/>
    <x v="5"/>
    <n v="14.7"/>
    <n v="12348"/>
    <x v="5"/>
    <s v="Critical"/>
    <s v="Completed"/>
    <x v="2"/>
    <s v="Sensor"/>
    <n v="6.9"/>
    <x v="3"/>
  </r>
  <r>
    <s v="AST1117"/>
    <x v="2"/>
    <x v="0"/>
    <x v="2"/>
    <s v="Machine-117"/>
    <n v="2017"/>
    <s v="2026-04-24"/>
    <x v="1"/>
    <x v="4"/>
    <n v="4.5999999999999996"/>
    <n v="17174"/>
    <x v="3"/>
    <s v="Critical"/>
    <s v="Completed"/>
    <x v="2"/>
    <s v="None"/>
    <n v="9.5"/>
    <x v="7"/>
  </r>
  <r>
    <s v="AST1118"/>
    <x v="4"/>
    <x v="3"/>
    <x v="6"/>
    <s v="Machine-118"/>
    <n v="2021"/>
    <s v="2026-04-29"/>
    <x v="1"/>
    <x v="3"/>
    <n v="14.8"/>
    <n v="41127"/>
    <x v="4"/>
    <s v="High"/>
    <s v="Completed"/>
    <x v="1"/>
    <s v="Valve"/>
    <n v="8.8000000000000007"/>
    <x v="8"/>
  </r>
  <r>
    <s v="AST1119"/>
    <x v="2"/>
    <x v="4"/>
    <x v="4"/>
    <s v="Machine-119"/>
    <n v="2022"/>
    <s v="2026-01-27"/>
    <x v="0"/>
    <x v="3"/>
    <n v="5.3"/>
    <n v="35143"/>
    <x v="4"/>
    <s v="Critical"/>
    <s v="Completed"/>
    <x v="0"/>
    <s v="Valve"/>
    <n v="8.9"/>
    <x v="1"/>
  </r>
  <r>
    <s v="AST1120"/>
    <x v="0"/>
    <x v="3"/>
    <x v="6"/>
    <s v="Machine-120"/>
    <n v="2014"/>
    <s v="2026-04-17"/>
    <x v="0"/>
    <x v="4"/>
    <n v="17.899999999999999"/>
    <n v="26070"/>
    <x v="4"/>
    <s v="Low"/>
    <s v="In Progress"/>
    <x v="0"/>
    <s v="None"/>
    <n v="6.7"/>
    <x v="9"/>
  </r>
  <r>
    <s v="AST1121"/>
    <x v="0"/>
    <x v="0"/>
    <x v="2"/>
    <s v="Machine-121"/>
    <n v="2016"/>
    <s v="2026-02-05"/>
    <x v="0"/>
    <x v="3"/>
    <n v="13.8"/>
    <n v="32243"/>
    <x v="1"/>
    <s v="Low"/>
    <s v="Completed"/>
    <x v="0"/>
    <s v="Sensor"/>
    <n v="2.5"/>
    <x v="6"/>
  </r>
  <r>
    <s v="AST1122"/>
    <x v="2"/>
    <x v="1"/>
    <x v="5"/>
    <s v="Machine-122"/>
    <n v="2016"/>
    <s v="2026-05-21"/>
    <x v="0"/>
    <x v="2"/>
    <n v="4.7"/>
    <n v="9485"/>
    <x v="0"/>
    <s v="Medium"/>
    <s v="In Progress"/>
    <x v="1"/>
    <s v="Belt"/>
    <n v="4.8"/>
    <x v="6"/>
  </r>
  <r>
    <s v="AST1123"/>
    <x v="2"/>
    <x v="1"/>
    <x v="1"/>
    <s v="Machine-123"/>
    <n v="2015"/>
    <s v="2026-05-08"/>
    <x v="1"/>
    <x v="5"/>
    <n v="4.7"/>
    <n v="10909"/>
    <x v="3"/>
    <s v="Critical"/>
    <s v="Completed"/>
    <x v="1"/>
    <s v="Sensor"/>
    <n v="2.8"/>
    <x v="10"/>
  </r>
  <r>
    <s v="AST1124"/>
    <x v="0"/>
    <x v="1"/>
    <x v="4"/>
    <s v="Machine-124"/>
    <n v="2020"/>
    <s v="2026-02-17"/>
    <x v="0"/>
    <x v="5"/>
    <n v="10"/>
    <n v="34767"/>
    <x v="2"/>
    <s v="Low"/>
    <s v="In Progress"/>
    <x v="2"/>
    <s v="Bearing"/>
    <n v="6.5"/>
    <x v="3"/>
  </r>
  <r>
    <s v="AST1125"/>
    <x v="0"/>
    <x v="0"/>
    <x v="2"/>
    <s v="Machine-125"/>
    <n v="2019"/>
    <s v="2026-03-06"/>
    <x v="0"/>
    <x v="3"/>
    <n v="13.3"/>
    <n v="42673"/>
    <x v="0"/>
    <s v="High"/>
    <s v="Completed"/>
    <x v="0"/>
    <s v="Sensor"/>
    <n v="5.7"/>
    <x v="5"/>
  </r>
  <r>
    <s v="AST1126"/>
    <x v="3"/>
    <x v="3"/>
    <x v="3"/>
    <s v="Machine-126"/>
    <n v="2024"/>
    <s v="2026-02-14"/>
    <x v="0"/>
    <x v="3"/>
    <n v="1.6"/>
    <n v="31494"/>
    <x v="0"/>
    <s v="High"/>
    <s v="Completed"/>
    <x v="0"/>
    <s v="Motor"/>
    <n v="8.9"/>
    <x v="0"/>
  </r>
  <r>
    <s v="AST1127"/>
    <x v="2"/>
    <x v="3"/>
    <x v="2"/>
    <s v="Machine-127"/>
    <n v="2019"/>
    <s v="2026-03-21"/>
    <x v="1"/>
    <x v="2"/>
    <n v="1.1000000000000001"/>
    <n v="43895"/>
    <x v="4"/>
    <s v="High"/>
    <s v="In Progress"/>
    <x v="0"/>
    <s v="None"/>
    <n v="3.7"/>
    <x v="5"/>
  </r>
  <r>
    <s v="AST1128"/>
    <x v="4"/>
    <x v="3"/>
    <x v="5"/>
    <s v="Machine-128"/>
    <n v="2015"/>
    <s v="2026-07-24"/>
    <x v="1"/>
    <x v="4"/>
    <n v="6.4"/>
    <n v="13743"/>
    <x v="1"/>
    <s v="Critical"/>
    <s v="In Progress"/>
    <x v="1"/>
    <s v="Sensor"/>
    <n v="8.1"/>
    <x v="10"/>
  </r>
  <r>
    <s v="AST1129"/>
    <x v="0"/>
    <x v="3"/>
    <x v="6"/>
    <s v="Machine-129"/>
    <n v="2025"/>
    <s v="2026-04-19"/>
    <x v="2"/>
    <x v="3"/>
    <n v="10"/>
    <n v="22550"/>
    <x v="0"/>
    <s v="Low"/>
    <s v="In Progress"/>
    <x v="1"/>
    <s v="Sensor"/>
    <n v="3.4"/>
    <x v="11"/>
  </r>
  <r>
    <s v="AST1130"/>
    <x v="3"/>
    <x v="2"/>
    <x v="3"/>
    <s v="Machine-130"/>
    <n v="2023"/>
    <s v="2026-07-03"/>
    <x v="0"/>
    <x v="4"/>
    <n v="1.2"/>
    <n v="24605"/>
    <x v="2"/>
    <s v="Critical"/>
    <s v="In Progress"/>
    <x v="1"/>
    <s v="Bearing"/>
    <n v="1.2"/>
    <x v="4"/>
  </r>
  <r>
    <s v="AST1131"/>
    <x v="4"/>
    <x v="1"/>
    <x v="2"/>
    <s v="Machine-131"/>
    <n v="2024"/>
    <s v="2026-04-14"/>
    <x v="1"/>
    <x v="3"/>
    <n v="17.2"/>
    <n v="10857"/>
    <x v="2"/>
    <s v="Critical"/>
    <s v="Completed"/>
    <x v="0"/>
    <s v="Bearing"/>
    <n v="2.7"/>
    <x v="0"/>
  </r>
  <r>
    <s v="AST1132"/>
    <x v="4"/>
    <x v="3"/>
    <x v="6"/>
    <s v="Machine-132"/>
    <n v="2024"/>
    <s v="2026-04-04"/>
    <x v="0"/>
    <x v="3"/>
    <n v="12.4"/>
    <n v="25811"/>
    <x v="3"/>
    <s v="Critical"/>
    <s v="Completed"/>
    <x v="1"/>
    <s v="Motor"/>
    <n v="5.5"/>
    <x v="0"/>
  </r>
  <r>
    <s v="AST1133"/>
    <x v="4"/>
    <x v="2"/>
    <x v="1"/>
    <s v="Machine-133"/>
    <n v="2020"/>
    <s v="2026-03-22"/>
    <x v="0"/>
    <x v="3"/>
    <n v="9.1999999999999993"/>
    <n v="26861"/>
    <x v="2"/>
    <s v="Low"/>
    <s v="In Progress"/>
    <x v="2"/>
    <s v="None"/>
    <n v="4.7"/>
    <x v="3"/>
  </r>
  <r>
    <s v="AST1134"/>
    <x v="3"/>
    <x v="2"/>
    <x v="1"/>
    <s v="Machine-134"/>
    <n v="2023"/>
    <s v="2026-03-15"/>
    <x v="0"/>
    <x v="1"/>
    <n v="8.4"/>
    <n v="30670"/>
    <x v="0"/>
    <s v="High"/>
    <s v="Pending"/>
    <x v="2"/>
    <s v="None"/>
    <n v="1.1000000000000001"/>
    <x v="4"/>
  </r>
  <r>
    <s v="AST1135"/>
    <x v="4"/>
    <x v="2"/>
    <x v="3"/>
    <s v="Machine-135"/>
    <n v="2022"/>
    <s v="2026-03-16"/>
    <x v="1"/>
    <x v="0"/>
    <n v="11.7"/>
    <n v="25190"/>
    <x v="2"/>
    <s v="Medium"/>
    <s v="Completed"/>
    <x v="0"/>
    <s v="Motor"/>
    <n v="2.7"/>
    <x v="1"/>
  </r>
  <r>
    <s v="AST1136"/>
    <x v="4"/>
    <x v="1"/>
    <x v="6"/>
    <s v="Machine-136"/>
    <n v="2021"/>
    <s v="2026-01-07"/>
    <x v="0"/>
    <x v="5"/>
    <n v="2.8"/>
    <n v="7150"/>
    <x v="0"/>
    <s v="High"/>
    <s v="In Progress"/>
    <x v="1"/>
    <s v="None"/>
    <n v="5"/>
    <x v="8"/>
  </r>
  <r>
    <s v="AST1137"/>
    <x v="3"/>
    <x v="1"/>
    <x v="1"/>
    <s v="Machine-137"/>
    <n v="2020"/>
    <s v="2026-07-16"/>
    <x v="0"/>
    <x v="2"/>
    <n v="11.7"/>
    <n v="30989"/>
    <x v="1"/>
    <s v="High"/>
    <s v="Completed"/>
    <x v="1"/>
    <s v="None"/>
    <n v="6.1"/>
    <x v="3"/>
  </r>
  <r>
    <s v="AST1138"/>
    <x v="2"/>
    <x v="4"/>
    <x v="2"/>
    <s v="Machine-138"/>
    <n v="2016"/>
    <s v="2026-04-21"/>
    <x v="0"/>
    <x v="3"/>
    <n v="5.8"/>
    <n v="12114"/>
    <x v="3"/>
    <s v="Medium"/>
    <s v="In Progress"/>
    <x v="1"/>
    <s v="Sensor"/>
    <n v="8.5"/>
    <x v="6"/>
  </r>
  <r>
    <s v="AST1139"/>
    <x v="2"/>
    <x v="0"/>
    <x v="0"/>
    <s v="Machine-139"/>
    <n v="2018"/>
    <s v="2026-02-20"/>
    <x v="1"/>
    <x v="5"/>
    <n v="9.8000000000000007"/>
    <n v="34436"/>
    <x v="5"/>
    <s v="Medium"/>
    <s v="Pending"/>
    <x v="1"/>
    <s v="Motor"/>
    <n v="2.1"/>
    <x v="2"/>
  </r>
  <r>
    <s v="AST1140"/>
    <x v="2"/>
    <x v="0"/>
    <x v="2"/>
    <s v="Machine-140"/>
    <n v="2023"/>
    <s v="2026-07-04"/>
    <x v="2"/>
    <x v="1"/>
    <n v="14.9"/>
    <n v="3359"/>
    <x v="0"/>
    <s v="Low"/>
    <s v="Pending"/>
    <x v="1"/>
    <s v="Sensor"/>
    <n v="6.7"/>
    <x v="4"/>
  </r>
  <r>
    <s v="AST1141"/>
    <x v="2"/>
    <x v="4"/>
    <x v="5"/>
    <s v="Machine-141"/>
    <n v="2023"/>
    <s v="2026-04-17"/>
    <x v="2"/>
    <x v="5"/>
    <n v="5.6"/>
    <n v="21298"/>
    <x v="1"/>
    <s v="Medium"/>
    <s v="Pending"/>
    <x v="2"/>
    <s v="Sensor"/>
    <n v="4.8"/>
    <x v="4"/>
  </r>
  <r>
    <s v="AST1142"/>
    <x v="1"/>
    <x v="3"/>
    <x v="5"/>
    <s v="Machine-142"/>
    <n v="2025"/>
    <s v="2026-01-16"/>
    <x v="0"/>
    <x v="3"/>
    <n v="6.5"/>
    <n v="10915"/>
    <x v="3"/>
    <s v="High"/>
    <s v="Pending"/>
    <x v="2"/>
    <s v="Valve"/>
    <n v="1.7"/>
    <x v="11"/>
  </r>
  <r>
    <s v="AST1143"/>
    <x v="2"/>
    <x v="4"/>
    <x v="4"/>
    <s v="Machine-143"/>
    <n v="2019"/>
    <s v="2026-05-12"/>
    <x v="0"/>
    <x v="1"/>
    <n v="5.2"/>
    <n v="17747"/>
    <x v="4"/>
    <s v="Low"/>
    <s v="Completed"/>
    <x v="2"/>
    <s v="Valve"/>
    <n v="8.6999999999999993"/>
    <x v="5"/>
  </r>
  <r>
    <s v="AST1144"/>
    <x v="1"/>
    <x v="0"/>
    <x v="6"/>
    <s v="Machine-144"/>
    <n v="2020"/>
    <s v="2026-03-05"/>
    <x v="1"/>
    <x v="3"/>
    <n v="13.9"/>
    <n v="34154"/>
    <x v="2"/>
    <s v="Critical"/>
    <s v="In Progress"/>
    <x v="2"/>
    <s v="Valve"/>
    <n v="0.7"/>
    <x v="3"/>
  </r>
  <r>
    <s v="AST1145"/>
    <x v="3"/>
    <x v="2"/>
    <x v="0"/>
    <s v="Machine-145"/>
    <n v="2020"/>
    <s v="2026-05-10"/>
    <x v="1"/>
    <x v="1"/>
    <n v="1.4"/>
    <n v="33933"/>
    <x v="2"/>
    <s v="Critical"/>
    <s v="In Progress"/>
    <x v="1"/>
    <s v="Bearing"/>
    <n v="8.5"/>
    <x v="3"/>
  </r>
  <r>
    <s v="AST1146"/>
    <x v="4"/>
    <x v="0"/>
    <x v="2"/>
    <s v="Machine-146"/>
    <n v="2020"/>
    <s v="2026-02-04"/>
    <x v="0"/>
    <x v="1"/>
    <n v="7.5"/>
    <n v="38873"/>
    <x v="2"/>
    <s v="Medium"/>
    <s v="In Progress"/>
    <x v="1"/>
    <s v="Sensor"/>
    <n v="1.2"/>
    <x v="3"/>
  </r>
  <r>
    <s v="AST1147"/>
    <x v="2"/>
    <x v="0"/>
    <x v="2"/>
    <s v="Machine-147"/>
    <n v="2022"/>
    <s v="2026-04-26"/>
    <x v="2"/>
    <x v="0"/>
    <n v="11.2"/>
    <n v="9932"/>
    <x v="0"/>
    <s v="Critical"/>
    <s v="In Progress"/>
    <x v="2"/>
    <s v="Belt"/>
    <n v="9.4"/>
    <x v="1"/>
  </r>
  <r>
    <s v="AST1148"/>
    <x v="2"/>
    <x v="1"/>
    <x v="5"/>
    <s v="Machine-148"/>
    <n v="2016"/>
    <s v="2026-02-20"/>
    <x v="1"/>
    <x v="1"/>
    <n v="1.2"/>
    <n v="23326"/>
    <x v="1"/>
    <s v="Critical"/>
    <s v="Completed"/>
    <x v="1"/>
    <s v="Belt"/>
    <n v="1.8"/>
    <x v="6"/>
  </r>
  <r>
    <s v="AST1149"/>
    <x v="1"/>
    <x v="3"/>
    <x v="6"/>
    <s v="Machine-149"/>
    <n v="2023"/>
    <s v="2026-03-23"/>
    <x v="1"/>
    <x v="2"/>
    <n v="10.9"/>
    <n v="34747"/>
    <x v="2"/>
    <s v="Critical"/>
    <s v="Pending"/>
    <x v="1"/>
    <s v="Sensor"/>
    <n v="5"/>
    <x v="4"/>
  </r>
  <r>
    <s v="AST1150"/>
    <x v="4"/>
    <x v="4"/>
    <x v="5"/>
    <s v="Machine-150"/>
    <n v="2014"/>
    <s v="2026-04-05"/>
    <x v="1"/>
    <x v="0"/>
    <n v="15.8"/>
    <n v="42739"/>
    <x v="0"/>
    <s v="Critical"/>
    <s v="In Progress"/>
    <x v="1"/>
    <s v="Belt"/>
    <n v="6"/>
    <x v="9"/>
  </r>
  <r>
    <s v="AST1151"/>
    <x v="2"/>
    <x v="3"/>
    <x v="0"/>
    <s v="Machine-151"/>
    <n v="2025"/>
    <s v="2026-01-14"/>
    <x v="1"/>
    <x v="0"/>
    <n v="11.3"/>
    <n v="26416"/>
    <x v="4"/>
    <s v="Medium"/>
    <s v="Completed"/>
    <x v="1"/>
    <s v="None"/>
    <n v="1.5"/>
    <x v="11"/>
  </r>
  <r>
    <s v="AST1152"/>
    <x v="4"/>
    <x v="3"/>
    <x v="0"/>
    <s v="Machine-152"/>
    <n v="2014"/>
    <s v="2026-04-23"/>
    <x v="0"/>
    <x v="3"/>
    <n v="7.7"/>
    <n v="41573"/>
    <x v="1"/>
    <s v="Low"/>
    <s v="Pending"/>
    <x v="0"/>
    <s v="Belt"/>
    <n v="2.5"/>
    <x v="9"/>
  </r>
  <r>
    <s v="AST1153"/>
    <x v="3"/>
    <x v="1"/>
    <x v="5"/>
    <s v="Machine-153"/>
    <n v="2019"/>
    <s v="2026-06-19"/>
    <x v="0"/>
    <x v="3"/>
    <n v="8.5"/>
    <n v="36439"/>
    <x v="3"/>
    <s v="High"/>
    <s v="Pending"/>
    <x v="1"/>
    <s v="None"/>
    <n v="6.6"/>
    <x v="5"/>
  </r>
  <r>
    <s v="AST1154"/>
    <x v="2"/>
    <x v="3"/>
    <x v="0"/>
    <s v="Machine-154"/>
    <n v="2025"/>
    <s v="2026-03-09"/>
    <x v="2"/>
    <x v="2"/>
    <n v="10.3"/>
    <n v="16236"/>
    <x v="3"/>
    <s v="High"/>
    <s v="Pending"/>
    <x v="0"/>
    <s v="None"/>
    <n v="7.2"/>
    <x v="11"/>
  </r>
  <r>
    <s v="AST1155"/>
    <x v="4"/>
    <x v="1"/>
    <x v="2"/>
    <s v="Machine-155"/>
    <n v="2019"/>
    <s v="2026-05-03"/>
    <x v="1"/>
    <x v="2"/>
    <n v="2.6"/>
    <n v="37098"/>
    <x v="1"/>
    <s v="Critical"/>
    <s v="In Progress"/>
    <x v="0"/>
    <s v="Sensor"/>
    <n v="0.9"/>
    <x v="5"/>
  </r>
  <r>
    <s v="AST1156"/>
    <x v="4"/>
    <x v="3"/>
    <x v="3"/>
    <s v="Machine-156"/>
    <n v="2025"/>
    <s v="2026-01-21"/>
    <x v="0"/>
    <x v="4"/>
    <n v="4.2"/>
    <n v="36796"/>
    <x v="3"/>
    <s v="High"/>
    <s v="Completed"/>
    <x v="0"/>
    <s v="Belt"/>
    <n v="7.5"/>
    <x v="11"/>
  </r>
  <r>
    <s v="AST1157"/>
    <x v="0"/>
    <x v="1"/>
    <x v="0"/>
    <s v="Machine-157"/>
    <n v="2017"/>
    <s v="2026-03-04"/>
    <x v="1"/>
    <x v="1"/>
    <n v="2.2999999999999998"/>
    <n v="23146"/>
    <x v="5"/>
    <s v="Critical"/>
    <s v="Completed"/>
    <x v="1"/>
    <s v="Motor"/>
    <n v="0.5"/>
    <x v="7"/>
  </r>
  <r>
    <s v="AST1158"/>
    <x v="3"/>
    <x v="3"/>
    <x v="5"/>
    <s v="Machine-158"/>
    <n v="2022"/>
    <s v="2026-02-10"/>
    <x v="1"/>
    <x v="2"/>
    <n v="6.1"/>
    <n v="43829"/>
    <x v="0"/>
    <s v="Low"/>
    <s v="Pending"/>
    <x v="1"/>
    <s v="Motor"/>
    <n v="5.6"/>
    <x v="1"/>
  </r>
  <r>
    <s v="AST1159"/>
    <x v="1"/>
    <x v="3"/>
    <x v="2"/>
    <s v="Machine-159"/>
    <n v="2025"/>
    <s v="2026-01-10"/>
    <x v="0"/>
    <x v="1"/>
    <n v="18"/>
    <n v="27517"/>
    <x v="1"/>
    <s v="Medium"/>
    <s v="Pending"/>
    <x v="2"/>
    <s v="Bearing"/>
    <n v="0.6"/>
    <x v="11"/>
  </r>
  <r>
    <s v="AST1160"/>
    <x v="0"/>
    <x v="0"/>
    <x v="4"/>
    <s v="Machine-160"/>
    <n v="2023"/>
    <s v="2026-06-04"/>
    <x v="0"/>
    <x v="0"/>
    <n v="10"/>
    <n v="33869"/>
    <x v="4"/>
    <s v="Critical"/>
    <s v="In Progress"/>
    <x v="0"/>
    <s v="Bearing"/>
    <n v="3.6"/>
    <x v="4"/>
  </r>
  <r>
    <s v="AST1161"/>
    <x v="4"/>
    <x v="2"/>
    <x v="1"/>
    <s v="Machine-161"/>
    <n v="2025"/>
    <s v="2026-04-28"/>
    <x v="1"/>
    <x v="2"/>
    <n v="10.4"/>
    <n v="14159"/>
    <x v="4"/>
    <s v="Critical"/>
    <s v="In Progress"/>
    <x v="1"/>
    <s v="Sensor"/>
    <n v="1.3"/>
    <x v="11"/>
  </r>
  <r>
    <s v="AST1162"/>
    <x v="1"/>
    <x v="2"/>
    <x v="5"/>
    <s v="Machine-162"/>
    <n v="2024"/>
    <s v="2026-01-25"/>
    <x v="0"/>
    <x v="3"/>
    <n v="0.6"/>
    <n v="26637"/>
    <x v="4"/>
    <s v="Critical"/>
    <s v="In Progress"/>
    <x v="2"/>
    <s v="Sensor"/>
    <n v="6"/>
    <x v="0"/>
  </r>
  <r>
    <s v="AST1163"/>
    <x v="4"/>
    <x v="0"/>
    <x v="3"/>
    <s v="Machine-163"/>
    <n v="2023"/>
    <s v="2026-01-03"/>
    <x v="0"/>
    <x v="0"/>
    <n v="2.6"/>
    <n v="21606"/>
    <x v="4"/>
    <s v="Critical"/>
    <s v="Pending"/>
    <x v="1"/>
    <s v="None"/>
    <n v="7.8"/>
    <x v="4"/>
  </r>
  <r>
    <s v="AST1164"/>
    <x v="4"/>
    <x v="0"/>
    <x v="6"/>
    <s v="Machine-164"/>
    <n v="2025"/>
    <s v="2026-01-31"/>
    <x v="0"/>
    <x v="3"/>
    <n v="8.9"/>
    <n v="31317"/>
    <x v="5"/>
    <s v="High"/>
    <s v="In Progress"/>
    <x v="1"/>
    <s v="Belt"/>
    <n v="9.1999999999999993"/>
    <x v="11"/>
  </r>
  <r>
    <s v="AST1165"/>
    <x v="1"/>
    <x v="2"/>
    <x v="3"/>
    <s v="Machine-165"/>
    <n v="2022"/>
    <s v="2026-07-25"/>
    <x v="1"/>
    <x v="1"/>
    <n v="9.6999999999999993"/>
    <n v="36114"/>
    <x v="5"/>
    <s v="High"/>
    <s v="Completed"/>
    <x v="1"/>
    <s v="Bearing"/>
    <n v="1.1000000000000001"/>
    <x v="1"/>
  </r>
  <r>
    <s v="AST1166"/>
    <x v="1"/>
    <x v="1"/>
    <x v="6"/>
    <s v="Machine-166"/>
    <n v="2022"/>
    <s v="2026-05-10"/>
    <x v="0"/>
    <x v="2"/>
    <n v="15.5"/>
    <n v="30456"/>
    <x v="0"/>
    <s v="Medium"/>
    <s v="Pending"/>
    <x v="1"/>
    <s v="Valve"/>
    <n v="1.4"/>
    <x v="1"/>
  </r>
  <r>
    <s v="AST1167"/>
    <x v="0"/>
    <x v="3"/>
    <x v="0"/>
    <s v="Machine-167"/>
    <n v="2022"/>
    <s v="2026-04-25"/>
    <x v="1"/>
    <x v="4"/>
    <n v="10.4"/>
    <n v="38121"/>
    <x v="1"/>
    <s v="High"/>
    <s v="Pending"/>
    <x v="0"/>
    <s v="Valve"/>
    <n v="2.9"/>
    <x v="1"/>
  </r>
  <r>
    <s v="AST1168"/>
    <x v="1"/>
    <x v="1"/>
    <x v="1"/>
    <s v="Machine-168"/>
    <n v="2014"/>
    <s v="2026-07-10"/>
    <x v="0"/>
    <x v="2"/>
    <n v="12.8"/>
    <n v="36965"/>
    <x v="0"/>
    <s v="Low"/>
    <s v="In Progress"/>
    <x v="0"/>
    <s v="Sensor"/>
    <n v="4.4000000000000004"/>
    <x v="9"/>
  </r>
  <r>
    <s v="AST1169"/>
    <x v="3"/>
    <x v="0"/>
    <x v="5"/>
    <s v="Machine-169"/>
    <n v="2016"/>
    <s v="2026-07-16"/>
    <x v="0"/>
    <x v="4"/>
    <n v="7.1"/>
    <n v="44871"/>
    <x v="2"/>
    <s v="Medium"/>
    <s v="Pending"/>
    <x v="2"/>
    <s v="Bearing"/>
    <n v="2.2000000000000002"/>
    <x v="6"/>
  </r>
  <r>
    <s v="AST1170"/>
    <x v="2"/>
    <x v="2"/>
    <x v="3"/>
    <s v="Machine-170"/>
    <n v="2022"/>
    <s v="2026-04-11"/>
    <x v="2"/>
    <x v="1"/>
    <n v="13.7"/>
    <n v="21053"/>
    <x v="1"/>
    <s v="Critical"/>
    <s v="Pending"/>
    <x v="2"/>
    <s v="Motor"/>
    <n v="2.9"/>
    <x v="1"/>
  </r>
  <r>
    <s v="AST1171"/>
    <x v="4"/>
    <x v="2"/>
    <x v="3"/>
    <s v="Machine-171"/>
    <n v="2019"/>
    <s v="2026-02-09"/>
    <x v="1"/>
    <x v="1"/>
    <n v="14.7"/>
    <n v="28975"/>
    <x v="2"/>
    <s v="Low"/>
    <s v="Completed"/>
    <x v="0"/>
    <s v="Bearing"/>
    <n v="1.5"/>
    <x v="5"/>
  </r>
  <r>
    <s v="AST1172"/>
    <x v="2"/>
    <x v="4"/>
    <x v="0"/>
    <s v="Machine-172"/>
    <n v="2014"/>
    <s v="2026-04-25"/>
    <x v="1"/>
    <x v="4"/>
    <n v="8.1999999999999993"/>
    <n v="36873"/>
    <x v="4"/>
    <s v="Low"/>
    <s v="Completed"/>
    <x v="1"/>
    <s v="Sensor"/>
    <n v="2.7"/>
    <x v="9"/>
  </r>
  <r>
    <s v="AST1173"/>
    <x v="4"/>
    <x v="1"/>
    <x v="6"/>
    <s v="Machine-173"/>
    <n v="2025"/>
    <s v="2026-05-28"/>
    <x v="1"/>
    <x v="2"/>
    <n v="4.5999999999999996"/>
    <n v="10888"/>
    <x v="5"/>
    <s v="Medium"/>
    <s v="In Progress"/>
    <x v="2"/>
    <s v="Sensor"/>
    <n v="1.1000000000000001"/>
    <x v="11"/>
  </r>
  <r>
    <s v="AST1174"/>
    <x v="1"/>
    <x v="3"/>
    <x v="6"/>
    <s v="Machine-174"/>
    <n v="2023"/>
    <s v="2026-07-08"/>
    <x v="0"/>
    <x v="2"/>
    <n v="17"/>
    <n v="26479"/>
    <x v="2"/>
    <s v="High"/>
    <s v="Pending"/>
    <x v="2"/>
    <s v="Valve"/>
    <n v="1.9"/>
    <x v="4"/>
  </r>
  <r>
    <s v="AST1175"/>
    <x v="2"/>
    <x v="3"/>
    <x v="0"/>
    <s v="Machine-175"/>
    <n v="2020"/>
    <s v="2026-02-17"/>
    <x v="1"/>
    <x v="2"/>
    <n v="15.5"/>
    <n v="10960"/>
    <x v="1"/>
    <s v="Low"/>
    <s v="Pending"/>
    <x v="2"/>
    <s v="Valve"/>
    <n v="5.8"/>
    <x v="3"/>
  </r>
  <r>
    <s v="AST1176"/>
    <x v="1"/>
    <x v="0"/>
    <x v="0"/>
    <s v="Machine-176"/>
    <n v="2016"/>
    <s v="2026-04-10"/>
    <x v="0"/>
    <x v="1"/>
    <n v="16.600000000000001"/>
    <n v="25818"/>
    <x v="0"/>
    <s v="Medium"/>
    <s v="Completed"/>
    <x v="2"/>
    <s v="Valve"/>
    <n v="6.9"/>
    <x v="6"/>
  </r>
  <r>
    <s v="AST1177"/>
    <x v="0"/>
    <x v="2"/>
    <x v="2"/>
    <s v="Machine-177"/>
    <n v="2023"/>
    <s v="2026-01-11"/>
    <x v="1"/>
    <x v="0"/>
    <n v="12.3"/>
    <n v="15722"/>
    <x v="1"/>
    <s v="Medium"/>
    <s v="In Progress"/>
    <x v="2"/>
    <s v="Bearing"/>
    <n v="2.5"/>
    <x v="4"/>
  </r>
  <r>
    <s v="AST1178"/>
    <x v="0"/>
    <x v="3"/>
    <x v="0"/>
    <s v="Machine-178"/>
    <n v="2017"/>
    <s v="2026-07-09"/>
    <x v="1"/>
    <x v="0"/>
    <n v="4.0999999999999996"/>
    <n v="17184"/>
    <x v="2"/>
    <s v="High"/>
    <s v="In Progress"/>
    <x v="2"/>
    <s v="Valve"/>
    <n v="5.6"/>
    <x v="7"/>
  </r>
  <r>
    <s v="AST1179"/>
    <x v="4"/>
    <x v="0"/>
    <x v="6"/>
    <s v="Machine-179"/>
    <n v="2019"/>
    <s v="2026-03-20"/>
    <x v="2"/>
    <x v="4"/>
    <n v="2.2000000000000002"/>
    <n v="32268"/>
    <x v="3"/>
    <s v="Medium"/>
    <s v="In Progress"/>
    <x v="2"/>
    <s v="Valve"/>
    <n v="0.9"/>
    <x v="5"/>
  </r>
  <r>
    <s v="AST1180"/>
    <x v="1"/>
    <x v="4"/>
    <x v="4"/>
    <s v="Machine-180"/>
    <n v="2017"/>
    <s v="2026-07-09"/>
    <x v="1"/>
    <x v="5"/>
    <n v="10.6"/>
    <n v="28866"/>
    <x v="3"/>
    <s v="Medium"/>
    <s v="Completed"/>
    <x v="2"/>
    <s v="Motor"/>
    <n v="4.0999999999999996"/>
    <x v="7"/>
  </r>
  <r>
    <s v="AST1181"/>
    <x v="2"/>
    <x v="0"/>
    <x v="4"/>
    <s v="Machine-181"/>
    <n v="2017"/>
    <s v="2026-05-08"/>
    <x v="1"/>
    <x v="4"/>
    <n v="17.399999999999999"/>
    <n v="43554"/>
    <x v="5"/>
    <s v="Critical"/>
    <s v="In Progress"/>
    <x v="0"/>
    <s v="None"/>
    <n v="8.1"/>
    <x v="7"/>
  </r>
  <r>
    <s v="AST1182"/>
    <x v="2"/>
    <x v="3"/>
    <x v="0"/>
    <s v="Machine-182"/>
    <n v="2016"/>
    <s v="2026-02-05"/>
    <x v="2"/>
    <x v="5"/>
    <n v="17.8"/>
    <n v="5349"/>
    <x v="2"/>
    <s v="Low"/>
    <s v="Completed"/>
    <x v="1"/>
    <s v="Bearing"/>
    <n v="7.8"/>
    <x v="6"/>
  </r>
  <r>
    <s v="AST1183"/>
    <x v="1"/>
    <x v="4"/>
    <x v="3"/>
    <s v="Machine-183"/>
    <n v="2020"/>
    <s v="2026-02-05"/>
    <x v="0"/>
    <x v="3"/>
    <n v="9.4"/>
    <n v="25958"/>
    <x v="0"/>
    <s v="Critical"/>
    <s v="Pending"/>
    <x v="2"/>
    <s v="Bearing"/>
    <n v="0.6"/>
    <x v="3"/>
  </r>
  <r>
    <s v="AST1184"/>
    <x v="0"/>
    <x v="4"/>
    <x v="6"/>
    <s v="Machine-184"/>
    <n v="2022"/>
    <s v="2026-04-16"/>
    <x v="1"/>
    <x v="5"/>
    <n v="17.600000000000001"/>
    <n v="2623"/>
    <x v="2"/>
    <s v="Critical"/>
    <s v="Completed"/>
    <x v="0"/>
    <s v="Bearing"/>
    <n v="5.5"/>
    <x v="1"/>
  </r>
  <r>
    <s v="AST1185"/>
    <x v="2"/>
    <x v="1"/>
    <x v="4"/>
    <s v="Machine-185"/>
    <n v="2017"/>
    <s v="2026-02-19"/>
    <x v="1"/>
    <x v="2"/>
    <n v="14.4"/>
    <n v="6678"/>
    <x v="3"/>
    <s v="Critical"/>
    <s v="In Progress"/>
    <x v="1"/>
    <s v="Motor"/>
    <n v="9.9"/>
    <x v="7"/>
  </r>
  <r>
    <s v="AST1186"/>
    <x v="0"/>
    <x v="4"/>
    <x v="1"/>
    <s v="Machine-186"/>
    <n v="2017"/>
    <s v="2026-03-18"/>
    <x v="0"/>
    <x v="4"/>
    <n v="10.199999999999999"/>
    <n v="5177"/>
    <x v="5"/>
    <s v="Low"/>
    <s v="Pending"/>
    <x v="0"/>
    <s v="Bearing"/>
    <n v="5.2"/>
    <x v="7"/>
  </r>
  <r>
    <s v="AST1187"/>
    <x v="4"/>
    <x v="1"/>
    <x v="2"/>
    <s v="Machine-187"/>
    <n v="2020"/>
    <s v="2026-06-15"/>
    <x v="2"/>
    <x v="5"/>
    <n v="16.600000000000001"/>
    <n v="16557"/>
    <x v="4"/>
    <s v="Critical"/>
    <s v="In Progress"/>
    <x v="0"/>
    <s v="Bearing"/>
    <n v="7"/>
    <x v="3"/>
  </r>
  <r>
    <s v="AST1188"/>
    <x v="2"/>
    <x v="4"/>
    <x v="0"/>
    <s v="Machine-188"/>
    <n v="2018"/>
    <s v="2026-05-20"/>
    <x v="2"/>
    <x v="2"/>
    <n v="0.8"/>
    <n v="15076"/>
    <x v="2"/>
    <s v="Medium"/>
    <s v="Pending"/>
    <x v="2"/>
    <s v="Bearing"/>
    <n v="3.3"/>
    <x v="2"/>
  </r>
  <r>
    <s v="AST1189"/>
    <x v="2"/>
    <x v="3"/>
    <x v="3"/>
    <s v="Machine-189"/>
    <n v="2023"/>
    <s v="2026-03-03"/>
    <x v="2"/>
    <x v="2"/>
    <n v="7.2"/>
    <n v="10671"/>
    <x v="5"/>
    <s v="Low"/>
    <s v="Pending"/>
    <x v="1"/>
    <s v="Sensor"/>
    <n v="1"/>
    <x v="4"/>
  </r>
  <r>
    <s v="AST1190"/>
    <x v="0"/>
    <x v="0"/>
    <x v="6"/>
    <s v="Machine-190"/>
    <n v="2020"/>
    <s v="2026-03-01"/>
    <x v="1"/>
    <x v="5"/>
    <n v="7.4"/>
    <n v="22889"/>
    <x v="0"/>
    <s v="High"/>
    <s v="In Progress"/>
    <x v="2"/>
    <s v="Motor"/>
    <n v="3.9"/>
    <x v="3"/>
  </r>
  <r>
    <s v="AST1191"/>
    <x v="1"/>
    <x v="1"/>
    <x v="3"/>
    <s v="Machine-191"/>
    <n v="2020"/>
    <s v="2026-04-21"/>
    <x v="0"/>
    <x v="5"/>
    <n v="5.7"/>
    <n v="17651"/>
    <x v="5"/>
    <s v="Low"/>
    <s v="Completed"/>
    <x v="2"/>
    <s v="Motor"/>
    <n v="4.0999999999999996"/>
    <x v="3"/>
  </r>
  <r>
    <s v="AST1192"/>
    <x v="3"/>
    <x v="0"/>
    <x v="4"/>
    <s v="Machine-192"/>
    <n v="2024"/>
    <s v="2026-02-09"/>
    <x v="0"/>
    <x v="1"/>
    <n v="17"/>
    <n v="30646"/>
    <x v="3"/>
    <s v="High"/>
    <s v="Completed"/>
    <x v="0"/>
    <s v="Bearing"/>
    <n v="2.2999999999999998"/>
    <x v="0"/>
  </r>
  <r>
    <s v="AST1193"/>
    <x v="2"/>
    <x v="1"/>
    <x v="5"/>
    <s v="Machine-193"/>
    <n v="2021"/>
    <s v="2026-05-23"/>
    <x v="0"/>
    <x v="1"/>
    <n v="6.7"/>
    <n v="7599"/>
    <x v="2"/>
    <s v="High"/>
    <s v="In Progress"/>
    <x v="0"/>
    <s v="Sensor"/>
    <n v="4.4000000000000004"/>
    <x v="8"/>
  </r>
  <r>
    <s v="AST1194"/>
    <x v="2"/>
    <x v="2"/>
    <x v="6"/>
    <s v="Machine-194"/>
    <n v="2015"/>
    <s v="2026-07-05"/>
    <x v="1"/>
    <x v="0"/>
    <n v="7.2"/>
    <n v="10599"/>
    <x v="3"/>
    <s v="High"/>
    <s v="In Progress"/>
    <x v="2"/>
    <s v="Motor"/>
    <n v="1.1000000000000001"/>
    <x v="10"/>
  </r>
  <r>
    <s v="AST1195"/>
    <x v="3"/>
    <x v="0"/>
    <x v="5"/>
    <s v="Machine-195"/>
    <n v="2020"/>
    <s v="2026-03-12"/>
    <x v="1"/>
    <x v="2"/>
    <n v="4.9000000000000004"/>
    <n v="17660"/>
    <x v="5"/>
    <s v="Critical"/>
    <s v="Pending"/>
    <x v="1"/>
    <s v="Motor"/>
    <n v="4.8"/>
    <x v="3"/>
  </r>
  <r>
    <s v="AST1196"/>
    <x v="0"/>
    <x v="3"/>
    <x v="4"/>
    <s v="Machine-196"/>
    <n v="2016"/>
    <s v="2026-03-19"/>
    <x v="1"/>
    <x v="4"/>
    <n v="14.6"/>
    <n v="23096"/>
    <x v="1"/>
    <s v="High"/>
    <s v="In Progress"/>
    <x v="1"/>
    <s v="Belt"/>
    <n v="1.8"/>
    <x v="6"/>
  </r>
  <r>
    <s v="AST1197"/>
    <x v="1"/>
    <x v="3"/>
    <x v="4"/>
    <s v="Machine-197"/>
    <n v="2019"/>
    <s v="2026-06-04"/>
    <x v="0"/>
    <x v="4"/>
    <n v="17.5"/>
    <n v="20600"/>
    <x v="5"/>
    <s v="Critical"/>
    <s v="Pending"/>
    <x v="0"/>
    <s v="Sensor"/>
    <n v="4.0999999999999996"/>
    <x v="5"/>
  </r>
  <r>
    <s v="AST1198"/>
    <x v="0"/>
    <x v="1"/>
    <x v="0"/>
    <s v="Machine-198"/>
    <n v="2020"/>
    <s v="2026-04-04"/>
    <x v="1"/>
    <x v="5"/>
    <n v="3.6"/>
    <n v="37551"/>
    <x v="0"/>
    <s v="Critical"/>
    <s v="Pending"/>
    <x v="0"/>
    <s v="Valve"/>
    <n v="8.1"/>
    <x v="3"/>
  </r>
  <r>
    <s v="AST1199"/>
    <x v="3"/>
    <x v="3"/>
    <x v="0"/>
    <s v="Machine-199"/>
    <n v="2025"/>
    <s v="2026-01-18"/>
    <x v="1"/>
    <x v="3"/>
    <n v="4.9000000000000004"/>
    <n v="11601"/>
    <x v="5"/>
    <s v="Critical"/>
    <s v="In Progress"/>
    <x v="0"/>
    <s v="Valve"/>
    <n v="9.9"/>
    <x v="11"/>
  </r>
  <r>
    <s v="AST1200"/>
    <x v="3"/>
    <x v="1"/>
    <x v="6"/>
    <s v="Machine-200"/>
    <n v="2021"/>
    <s v="2026-05-30"/>
    <x v="2"/>
    <x v="0"/>
    <n v="7.8"/>
    <n v="3909"/>
    <x v="3"/>
    <s v="Low"/>
    <s v="Completed"/>
    <x v="0"/>
    <s v="None"/>
    <n v="6.8"/>
    <x v="8"/>
  </r>
  <r>
    <s v="AST1201"/>
    <x v="2"/>
    <x v="4"/>
    <x v="6"/>
    <s v="Machine-201"/>
    <n v="2016"/>
    <s v="2026-06-15"/>
    <x v="2"/>
    <x v="0"/>
    <n v="11.8"/>
    <n v="23231"/>
    <x v="1"/>
    <s v="Low"/>
    <s v="Completed"/>
    <x v="0"/>
    <s v="Sensor"/>
    <n v="2.6"/>
    <x v="6"/>
  </r>
  <r>
    <s v="AST1202"/>
    <x v="2"/>
    <x v="1"/>
    <x v="3"/>
    <s v="Machine-202"/>
    <n v="2025"/>
    <s v="2026-05-13"/>
    <x v="1"/>
    <x v="4"/>
    <n v="7"/>
    <n v="31847"/>
    <x v="5"/>
    <s v="Medium"/>
    <s v="In Progress"/>
    <x v="0"/>
    <s v="Valve"/>
    <n v="1.5"/>
    <x v="11"/>
  </r>
  <r>
    <s v="AST1203"/>
    <x v="0"/>
    <x v="2"/>
    <x v="4"/>
    <s v="Machine-203"/>
    <n v="2020"/>
    <s v="2026-01-22"/>
    <x v="0"/>
    <x v="4"/>
    <n v="14.2"/>
    <n v="35651"/>
    <x v="1"/>
    <s v="High"/>
    <s v="In Progress"/>
    <x v="0"/>
    <s v="Valve"/>
    <n v="7.4"/>
    <x v="3"/>
  </r>
  <r>
    <s v="AST1204"/>
    <x v="0"/>
    <x v="0"/>
    <x v="1"/>
    <s v="Machine-204"/>
    <n v="2021"/>
    <s v="2026-03-23"/>
    <x v="1"/>
    <x v="1"/>
    <n v="0.9"/>
    <n v="23983"/>
    <x v="5"/>
    <s v="Low"/>
    <s v="Pending"/>
    <x v="0"/>
    <s v="None"/>
    <n v="2.8"/>
    <x v="8"/>
  </r>
  <r>
    <s v="AST1205"/>
    <x v="1"/>
    <x v="0"/>
    <x v="6"/>
    <s v="Machine-205"/>
    <n v="2016"/>
    <s v="2026-05-22"/>
    <x v="0"/>
    <x v="4"/>
    <n v="4.5999999999999996"/>
    <n v="28045"/>
    <x v="5"/>
    <s v="Medium"/>
    <s v="Completed"/>
    <x v="1"/>
    <s v="None"/>
    <n v="4.5999999999999996"/>
    <x v="6"/>
  </r>
  <r>
    <s v="AST1206"/>
    <x v="2"/>
    <x v="2"/>
    <x v="5"/>
    <s v="Machine-206"/>
    <n v="2014"/>
    <s v="2026-07-08"/>
    <x v="1"/>
    <x v="4"/>
    <n v="0.6"/>
    <n v="15576"/>
    <x v="4"/>
    <s v="High"/>
    <s v="Pending"/>
    <x v="0"/>
    <s v="Belt"/>
    <n v="1.5"/>
    <x v="9"/>
  </r>
  <r>
    <s v="AST1207"/>
    <x v="4"/>
    <x v="0"/>
    <x v="0"/>
    <s v="Machine-207"/>
    <n v="2022"/>
    <s v="2026-02-17"/>
    <x v="0"/>
    <x v="2"/>
    <n v="12.2"/>
    <n v="33578"/>
    <x v="2"/>
    <s v="High"/>
    <s v="Pending"/>
    <x v="2"/>
    <s v="Belt"/>
    <n v="4.2"/>
    <x v="1"/>
  </r>
  <r>
    <s v="AST1208"/>
    <x v="4"/>
    <x v="3"/>
    <x v="6"/>
    <s v="Machine-208"/>
    <n v="2015"/>
    <s v="2026-03-31"/>
    <x v="0"/>
    <x v="0"/>
    <n v="12.9"/>
    <n v="20993"/>
    <x v="2"/>
    <s v="Low"/>
    <s v="Pending"/>
    <x v="0"/>
    <s v="Sensor"/>
    <n v="1.6"/>
    <x v="10"/>
  </r>
  <r>
    <s v="AST1209"/>
    <x v="1"/>
    <x v="0"/>
    <x v="3"/>
    <s v="Machine-209"/>
    <n v="2018"/>
    <s v="2026-01-30"/>
    <x v="0"/>
    <x v="4"/>
    <n v="7.8"/>
    <n v="10535"/>
    <x v="2"/>
    <s v="Critical"/>
    <s v="In Progress"/>
    <x v="0"/>
    <s v="Valve"/>
    <n v="6.5"/>
    <x v="2"/>
  </r>
  <r>
    <s v="AST1210"/>
    <x v="1"/>
    <x v="1"/>
    <x v="0"/>
    <s v="Machine-210"/>
    <n v="2025"/>
    <s v="2026-06-15"/>
    <x v="0"/>
    <x v="3"/>
    <n v="3.8"/>
    <n v="31056"/>
    <x v="2"/>
    <s v="Low"/>
    <s v="In Progress"/>
    <x v="0"/>
    <s v="Valve"/>
    <n v="1.8"/>
    <x v="11"/>
  </r>
  <r>
    <s v="AST1211"/>
    <x v="2"/>
    <x v="3"/>
    <x v="5"/>
    <s v="Machine-211"/>
    <n v="2020"/>
    <s v="2026-05-24"/>
    <x v="1"/>
    <x v="4"/>
    <n v="12.9"/>
    <n v="30588"/>
    <x v="1"/>
    <s v="Medium"/>
    <s v="Completed"/>
    <x v="1"/>
    <s v="Bearing"/>
    <n v="8.1"/>
    <x v="3"/>
  </r>
  <r>
    <s v="AST1212"/>
    <x v="0"/>
    <x v="0"/>
    <x v="0"/>
    <s v="Machine-212"/>
    <n v="2017"/>
    <s v="2026-03-16"/>
    <x v="1"/>
    <x v="3"/>
    <n v="14.2"/>
    <n v="38570"/>
    <x v="5"/>
    <s v="Critical"/>
    <s v="Pending"/>
    <x v="1"/>
    <s v="Bearing"/>
    <n v="5.9"/>
    <x v="7"/>
  </r>
  <r>
    <s v="AST1213"/>
    <x v="2"/>
    <x v="0"/>
    <x v="6"/>
    <s v="Machine-213"/>
    <n v="2018"/>
    <s v="2026-07-18"/>
    <x v="1"/>
    <x v="1"/>
    <n v="13.8"/>
    <n v="30425"/>
    <x v="2"/>
    <s v="Medium"/>
    <s v="In Progress"/>
    <x v="0"/>
    <s v="None"/>
    <n v="8.4"/>
    <x v="2"/>
  </r>
  <r>
    <s v="AST1214"/>
    <x v="0"/>
    <x v="3"/>
    <x v="4"/>
    <s v="Machine-214"/>
    <n v="2017"/>
    <s v="2026-03-18"/>
    <x v="0"/>
    <x v="1"/>
    <n v="8.1999999999999993"/>
    <n v="9193"/>
    <x v="4"/>
    <s v="Medium"/>
    <s v="Pending"/>
    <x v="1"/>
    <s v="None"/>
    <n v="3.8"/>
    <x v="7"/>
  </r>
  <r>
    <s v="AST1215"/>
    <x v="3"/>
    <x v="2"/>
    <x v="6"/>
    <s v="Machine-215"/>
    <n v="2025"/>
    <s v="2026-06-06"/>
    <x v="0"/>
    <x v="3"/>
    <n v="14.7"/>
    <n v="5390"/>
    <x v="2"/>
    <s v="High"/>
    <s v="Pending"/>
    <x v="2"/>
    <s v="Belt"/>
    <n v="5.6"/>
    <x v="11"/>
  </r>
  <r>
    <s v="AST1216"/>
    <x v="4"/>
    <x v="0"/>
    <x v="6"/>
    <s v="Machine-216"/>
    <n v="2019"/>
    <s v="2026-06-30"/>
    <x v="0"/>
    <x v="5"/>
    <n v="17.7"/>
    <n v="7740"/>
    <x v="4"/>
    <s v="Critical"/>
    <s v="Completed"/>
    <x v="2"/>
    <s v="None"/>
    <n v="1.7"/>
    <x v="5"/>
  </r>
  <r>
    <s v="AST1217"/>
    <x v="1"/>
    <x v="0"/>
    <x v="2"/>
    <s v="Machine-217"/>
    <n v="2016"/>
    <s v="2026-03-05"/>
    <x v="0"/>
    <x v="0"/>
    <n v="7.4"/>
    <n v="10817"/>
    <x v="2"/>
    <s v="High"/>
    <s v="Pending"/>
    <x v="2"/>
    <s v="Valve"/>
    <n v="4.8"/>
    <x v="6"/>
  </r>
  <r>
    <s v="AST1218"/>
    <x v="0"/>
    <x v="3"/>
    <x v="6"/>
    <s v="Machine-218"/>
    <n v="2024"/>
    <s v="2026-07-23"/>
    <x v="1"/>
    <x v="0"/>
    <n v="16.899999999999999"/>
    <n v="25687"/>
    <x v="1"/>
    <s v="Critical"/>
    <s v="In Progress"/>
    <x v="1"/>
    <s v="Bearing"/>
    <n v="8.8000000000000007"/>
    <x v="0"/>
  </r>
  <r>
    <s v="AST1219"/>
    <x v="3"/>
    <x v="0"/>
    <x v="2"/>
    <s v="Machine-219"/>
    <n v="2025"/>
    <s v="2026-01-24"/>
    <x v="0"/>
    <x v="5"/>
    <n v="7.5"/>
    <n v="29657"/>
    <x v="4"/>
    <s v="Critical"/>
    <s v="In Progress"/>
    <x v="2"/>
    <s v="Sensor"/>
    <n v="3.7"/>
    <x v="11"/>
  </r>
  <r>
    <s v="AST1220"/>
    <x v="2"/>
    <x v="3"/>
    <x v="2"/>
    <s v="Machine-220"/>
    <n v="2023"/>
    <s v="2026-02-03"/>
    <x v="0"/>
    <x v="0"/>
    <n v="13.8"/>
    <n v="4510"/>
    <x v="0"/>
    <s v="Critical"/>
    <s v="Completed"/>
    <x v="0"/>
    <s v="Motor"/>
    <n v="4.7"/>
    <x v="4"/>
  </r>
  <r>
    <s v="AST1221"/>
    <x v="1"/>
    <x v="2"/>
    <x v="3"/>
    <s v="Machine-221"/>
    <n v="2014"/>
    <s v="2026-04-20"/>
    <x v="0"/>
    <x v="2"/>
    <n v="2.1"/>
    <n v="25121"/>
    <x v="3"/>
    <s v="Low"/>
    <s v="In Progress"/>
    <x v="1"/>
    <s v="None"/>
    <n v="2.1"/>
    <x v="9"/>
  </r>
  <r>
    <s v="AST1222"/>
    <x v="4"/>
    <x v="2"/>
    <x v="5"/>
    <s v="Machine-222"/>
    <n v="2020"/>
    <s v="2026-06-10"/>
    <x v="1"/>
    <x v="0"/>
    <n v="2.2000000000000002"/>
    <n v="15486"/>
    <x v="1"/>
    <s v="Low"/>
    <s v="Completed"/>
    <x v="1"/>
    <s v="Motor"/>
    <n v="5.4"/>
    <x v="3"/>
  </r>
  <r>
    <s v="AST1223"/>
    <x v="0"/>
    <x v="0"/>
    <x v="2"/>
    <s v="Machine-223"/>
    <n v="2021"/>
    <s v="2026-01-03"/>
    <x v="0"/>
    <x v="4"/>
    <n v="12.6"/>
    <n v="32806"/>
    <x v="0"/>
    <s v="Medium"/>
    <s v="In Progress"/>
    <x v="0"/>
    <s v="None"/>
    <n v="8.1999999999999993"/>
    <x v="8"/>
  </r>
  <r>
    <s v="AST1224"/>
    <x v="4"/>
    <x v="0"/>
    <x v="0"/>
    <s v="Machine-224"/>
    <n v="2015"/>
    <s v="2026-03-22"/>
    <x v="0"/>
    <x v="3"/>
    <n v="11.7"/>
    <n v="10862"/>
    <x v="0"/>
    <s v="Low"/>
    <s v="Pending"/>
    <x v="1"/>
    <s v="Motor"/>
    <n v="4.7"/>
    <x v="10"/>
  </r>
  <r>
    <s v="AST1225"/>
    <x v="1"/>
    <x v="3"/>
    <x v="6"/>
    <s v="Machine-225"/>
    <n v="2025"/>
    <s v="2026-02-24"/>
    <x v="1"/>
    <x v="3"/>
    <n v="2"/>
    <n v="8084"/>
    <x v="4"/>
    <s v="Low"/>
    <s v="Pending"/>
    <x v="1"/>
    <s v="Valve"/>
    <n v="3.8"/>
    <x v="11"/>
  </r>
  <r>
    <s v="AST1226"/>
    <x v="1"/>
    <x v="2"/>
    <x v="4"/>
    <s v="Machine-226"/>
    <n v="2020"/>
    <s v="2026-03-22"/>
    <x v="1"/>
    <x v="3"/>
    <n v="10.199999999999999"/>
    <n v="40822"/>
    <x v="5"/>
    <s v="High"/>
    <s v="Pending"/>
    <x v="0"/>
    <s v="None"/>
    <n v="8.8000000000000007"/>
    <x v="3"/>
  </r>
  <r>
    <s v="AST1227"/>
    <x v="2"/>
    <x v="1"/>
    <x v="0"/>
    <s v="Machine-227"/>
    <n v="2017"/>
    <s v="2026-05-13"/>
    <x v="1"/>
    <x v="2"/>
    <n v="11.8"/>
    <n v="17185"/>
    <x v="1"/>
    <s v="Critical"/>
    <s v="Completed"/>
    <x v="0"/>
    <s v="Valve"/>
    <n v="6.6"/>
    <x v="7"/>
  </r>
  <r>
    <s v="AST1228"/>
    <x v="0"/>
    <x v="0"/>
    <x v="4"/>
    <s v="Machine-228"/>
    <n v="2015"/>
    <s v="2026-05-16"/>
    <x v="0"/>
    <x v="5"/>
    <n v="7.9"/>
    <n v="37306"/>
    <x v="5"/>
    <s v="Medium"/>
    <s v="In Progress"/>
    <x v="0"/>
    <s v="Bearing"/>
    <n v="6.1"/>
    <x v="10"/>
  </r>
  <r>
    <s v="AST1229"/>
    <x v="1"/>
    <x v="4"/>
    <x v="1"/>
    <s v="Machine-229"/>
    <n v="2014"/>
    <s v="2026-03-09"/>
    <x v="2"/>
    <x v="4"/>
    <n v="9.4"/>
    <n v="42694"/>
    <x v="5"/>
    <s v="Critical"/>
    <s v="In Progress"/>
    <x v="1"/>
    <s v="Valve"/>
    <n v="1.3"/>
    <x v="9"/>
  </r>
  <r>
    <s v="AST1230"/>
    <x v="2"/>
    <x v="2"/>
    <x v="4"/>
    <s v="Machine-230"/>
    <n v="2022"/>
    <s v="2026-05-18"/>
    <x v="0"/>
    <x v="1"/>
    <n v="9.4"/>
    <n v="14816"/>
    <x v="4"/>
    <s v="High"/>
    <s v="In Progress"/>
    <x v="1"/>
    <s v="None"/>
    <n v="7.8"/>
    <x v="1"/>
  </r>
  <r>
    <s v="AST1231"/>
    <x v="0"/>
    <x v="0"/>
    <x v="3"/>
    <s v="Machine-231"/>
    <n v="2024"/>
    <s v="2026-06-24"/>
    <x v="0"/>
    <x v="3"/>
    <n v="1.5"/>
    <n v="7150"/>
    <x v="1"/>
    <s v="Low"/>
    <s v="In Progress"/>
    <x v="1"/>
    <s v="Belt"/>
    <n v="1"/>
    <x v="0"/>
  </r>
  <r>
    <s v="AST1232"/>
    <x v="1"/>
    <x v="4"/>
    <x v="1"/>
    <s v="Machine-232"/>
    <n v="2024"/>
    <s v="2026-07-09"/>
    <x v="1"/>
    <x v="0"/>
    <n v="0.7"/>
    <n v="34032"/>
    <x v="3"/>
    <s v="High"/>
    <s v="Completed"/>
    <x v="2"/>
    <s v="Motor"/>
    <n v="7.6"/>
    <x v="0"/>
  </r>
  <r>
    <s v="AST1233"/>
    <x v="0"/>
    <x v="4"/>
    <x v="4"/>
    <s v="Machine-233"/>
    <n v="2018"/>
    <s v="2026-07-07"/>
    <x v="1"/>
    <x v="2"/>
    <n v="9.6999999999999993"/>
    <n v="18732"/>
    <x v="5"/>
    <s v="Low"/>
    <s v="In Progress"/>
    <x v="2"/>
    <s v="Belt"/>
    <n v="3.9"/>
    <x v="2"/>
  </r>
  <r>
    <s v="AST1234"/>
    <x v="1"/>
    <x v="0"/>
    <x v="0"/>
    <s v="Machine-234"/>
    <n v="2021"/>
    <s v="2026-05-26"/>
    <x v="0"/>
    <x v="1"/>
    <n v="16.100000000000001"/>
    <n v="9058"/>
    <x v="4"/>
    <s v="Low"/>
    <s v="Completed"/>
    <x v="0"/>
    <s v="Motor"/>
    <n v="0.9"/>
    <x v="8"/>
  </r>
  <r>
    <s v="AST1235"/>
    <x v="1"/>
    <x v="2"/>
    <x v="2"/>
    <s v="Machine-235"/>
    <n v="2019"/>
    <s v="2026-04-09"/>
    <x v="0"/>
    <x v="0"/>
    <n v="13.5"/>
    <n v="28983"/>
    <x v="4"/>
    <s v="High"/>
    <s v="Completed"/>
    <x v="2"/>
    <s v="None"/>
    <n v="3.5"/>
    <x v="5"/>
  </r>
  <r>
    <s v="AST1236"/>
    <x v="4"/>
    <x v="4"/>
    <x v="6"/>
    <s v="Machine-236"/>
    <n v="2015"/>
    <s v="2026-05-27"/>
    <x v="1"/>
    <x v="1"/>
    <n v="3.6"/>
    <n v="35301"/>
    <x v="0"/>
    <s v="Critical"/>
    <s v="Completed"/>
    <x v="2"/>
    <s v="Sensor"/>
    <n v="7.8"/>
    <x v="10"/>
  </r>
  <r>
    <s v="AST1237"/>
    <x v="0"/>
    <x v="1"/>
    <x v="5"/>
    <s v="Machine-237"/>
    <n v="2018"/>
    <s v="2026-03-25"/>
    <x v="0"/>
    <x v="3"/>
    <n v="5.6"/>
    <n v="21417"/>
    <x v="5"/>
    <s v="Medium"/>
    <s v="In Progress"/>
    <x v="2"/>
    <s v="Belt"/>
    <n v="9.6999999999999993"/>
    <x v="2"/>
  </r>
  <r>
    <s v="AST1238"/>
    <x v="2"/>
    <x v="2"/>
    <x v="0"/>
    <s v="Machine-238"/>
    <n v="2017"/>
    <s v="2026-07-07"/>
    <x v="0"/>
    <x v="4"/>
    <n v="0.9"/>
    <n v="36990"/>
    <x v="3"/>
    <s v="Low"/>
    <s v="In Progress"/>
    <x v="0"/>
    <s v="None"/>
    <n v="4.0999999999999996"/>
    <x v="7"/>
  </r>
  <r>
    <s v="AST1239"/>
    <x v="4"/>
    <x v="4"/>
    <x v="0"/>
    <s v="Machine-239"/>
    <n v="2025"/>
    <s v="2026-07-06"/>
    <x v="1"/>
    <x v="3"/>
    <n v="7.8"/>
    <n v="5425"/>
    <x v="4"/>
    <s v="High"/>
    <s v="Completed"/>
    <x v="0"/>
    <s v="Motor"/>
    <n v="9"/>
    <x v="11"/>
  </r>
  <r>
    <s v="AST1240"/>
    <x v="4"/>
    <x v="3"/>
    <x v="3"/>
    <s v="Machine-240"/>
    <n v="2022"/>
    <s v="2026-04-16"/>
    <x v="0"/>
    <x v="1"/>
    <n v="9.3000000000000007"/>
    <n v="43260"/>
    <x v="1"/>
    <s v="Low"/>
    <s v="Pending"/>
    <x v="1"/>
    <s v="Bearing"/>
    <n v="4.5999999999999996"/>
    <x v="1"/>
  </r>
  <r>
    <s v="AST1241"/>
    <x v="4"/>
    <x v="0"/>
    <x v="2"/>
    <s v="Machine-241"/>
    <n v="2016"/>
    <s v="2026-03-02"/>
    <x v="0"/>
    <x v="4"/>
    <n v="12.8"/>
    <n v="22881"/>
    <x v="3"/>
    <s v="Critical"/>
    <s v="In Progress"/>
    <x v="0"/>
    <s v="Bearing"/>
    <n v="9.5"/>
    <x v="6"/>
  </r>
  <r>
    <s v="AST1242"/>
    <x v="2"/>
    <x v="4"/>
    <x v="0"/>
    <s v="Machine-242"/>
    <n v="2016"/>
    <s v="2026-07-19"/>
    <x v="0"/>
    <x v="4"/>
    <n v="8.6999999999999993"/>
    <n v="28141"/>
    <x v="0"/>
    <s v="High"/>
    <s v="Completed"/>
    <x v="2"/>
    <s v="Sensor"/>
    <n v="4.9000000000000004"/>
    <x v="6"/>
  </r>
  <r>
    <s v="AST1243"/>
    <x v="1"/>
    <x v="0"/>
    <x v="2"/>
    <s v="Machine-243"/>
    <n v="2015"/>
    <s v="2026-01-24"/>
    <x v="1"/>
    <x v="5"/>
    <n v="1.2"/>
    <n v="22982"/>
    <x v="4"/>
    <s v="Low"/>
    <s v="Pending"/>
    <x v="0"/>
    <s v="Sensor"/>
    <n v="4.3"/>
    <x v="10"/>
  </r>
  <r>
    <s v="AST1244"/>
    <x v="4"/>
    <x v="0"/>
    <x v="2"/>
    <s v="Machine-244"/>
    <n v="2014"/>
    <s v="2026-06-23"/>
    <x v="2"/>
    <x v="1"/>
    <n v="17.2"/>
    <n v="31135"/>
    <x v="2"/>
    <s v="Medium"/>
    <s v="Completed"/>
    <x v="2"/>
    <s v="Bearing"/>
    <n v="8.1"/>
    <x v="9"/>
  </r>
  <r>
    <s v="AST1245"/>
    <x v="0"/>
    <x v="4"/>
    <x v="2"/>
    <s v="Machine-245"/>
    <n v="2016"/>
    <s v="2026-02-01"/>
    <x v="1"/>
    <x v="3"/>
    <n v="2.8"/>
    <n v="27752"/>
    <x v="3"/>
    <s v="Low"/>
    <s v="Pending"/>
    <x v="1"/>
    <s v="Sensor"/>
    <n v="9.1999999999999993"/>
    <x v="6"/>
  </r>
  <r>
    <s v="AST1246"/>
    <x v="0"/>
    <x v="2"/>
    <x v="3"/>
    <s v="Machine-246"/>
    <n v="2015"/>
    <s v="2026-01-06"/>
    <x v="0"/>
    <x v="3"/>
    <n v="2.1"/>
    <n v="23228"/>
    <x v="0"/>
    <s v="Low"/>
    <s v="In Progress"/>
    <x v="0"/>
    <s v="Motor"/>
    <n v="9.3000000000000007"/>
    <x v="10"/>
  </r>
  <r>
    <s v="AST1247"/>
    <x v="3"/>
    <x v="3"/>
    <x v="1"/>
    <s v="Machine-247"/>
    <n v="2020"/>
    <s v="2026-07-30"/>
    <x v="0"/>
    <x v="4"/>
    <n v="3.5"/>
    <n v="15571"/>
    <x v="4"/>
    <s v="High"/>
    <s v="In Progress"/>
    <x v="2"/>
    <s v="Motor"/>
    <n v="0.8"/>
    <x v="3"/>
  </r>
  <r>
    <s v="AST1248"/>
    <x v="1"/>
    <x v="0"/>
    <x v="5"/>
    <s v="Machine-248"/>
    <n v="2023"/>
    <s v="2026-06-07"/>
    <x v="0"/>
    <x v="5"/>
    <n v="8.9"/>
    <n v="7248"/>
    <x v="3"/>
    <s v="Critical"/>
    <s v="Completed"/>
    <x v="2"/>
    <s v="Motor"/>
    <n v="6.6"/>
    <x v="4"/>
  </r>
  <r>
    <s v="AST1249"/>
    <x v="2"/>
    <x v="4"/>
    <x v="5"/>
    <s v="Machine-249"/>
    <n v="2022"/>
    <s v="2026-03-05"/>
    <x v="1"/>
    <x v="2"/>
    <n v="8.9"/>
    <n v="33263"/>
    <x v="3"/>
    <s v="High"/>
    <s v="In Progress"/>
    <x v="2"/>
    <s v="Motor"/>
    <n v="0.7"/>
    <x v="1"/>
  </r>
  <r>
    <s v="AST1250"/>
    <x v="0"/>
    <x v="0"/>
    <x v="1"/>
    <s v="Machine-250"/>
    <n v="2023"/>
    <s v="2026-02-26"/>
    <x v="1"/>
    <x v="4"/>
    <n v="9.8000000000000007"/>
    <n v="39772"/>
    <x v="4"/>
    <s v="Medium"/>
    <s v="Completed"/>
    <x v="0"/>
    <s v="None"/>
    <n v="2.8"/>
    <x v="4"/>
  </r>
  <r>
    <s v="AST1251"/>
    <x v="0"/>
    <x v="2"/>
    <x v="6"/>
    <s v="Machine-251"/>
    <n v="2022"/>
    <s v="2026-07-28"/>
    <x v="1"/>
    <x v="4"/>
    <n v="6.7"/>
    <n v="12884"/>
    <x v="4"/>
    <s v="Medium"/>
    <s v="Pending"/>
    <x v="2"/>
    <s v="None"/>
    <n v="7.1"/>
    <x v="1"/>
  </r>
  <r>
    <s v="AST1252"/>
    <x v="4"/>
    <x v="1"/>
    <x v="6"/>
    <s v="Machine-252"/>
    <n v="2023"/>
    <s v="2026-01-08"/>
    <x v="0"/>
    <x v="3"/>
    <n v="15.1"/>
    <n v="33758"/>
    <x v="2"/>
    <s v="High"/>
    <s v="Completed"/>
    <x v="2"/>
    <s v="Bearing"/>
    <n v="1.4"/>
    <x v="4"/>
  </r>
  <r>
    <s v="AST1253"/>
    <x v="1"/>
    <x v="4"/>
    <x v="6"/>
    <s v="Machine-253"/>
    <n v="2017"/>
    <s v="2026-06-04"/>
    <x v="0"/>
    <x v="2"/>
    <n v="16.600000000000001"/>
    <n v="14703"/>
    <x v="4"/>
    <s v="High"/>
    <s v="Pending"/>
    <x v="0"/>
    <s v="Sensor"/>
    <n v="1.1000000000000001"/>
    <x v="7"/>
  </r>
  <r>
    <s v="AST1254"/>
    <x v="1"/>
    <x v="4"/>
    <x v="2"/>
    <s v="Machine-254"/>
    <n v="2016"/>
    <s v="2026-05-31"/>
    <x v="1"/>
    <x v="2"/>
    <n v="17.3"/>
    <n v="25983"/>
    <x v="5"/>
    <s v="Critical"/>
    <s v="Pending"/>
    <x v="0"/>
    <s v="Sensor"/>
    <n v="3.4"/>
    <x v="6"/>
  </r>
  <r>
    <s v="AST1255"/>
    <x v="3"/>
    <x v="3"/>
    <x v="3"/>
    <s v="Machine-255"/>
    <n v="2016"/>
    <s v="2026-02-10"/>
    <x v="0"/>
    <x v="0"/>
    <n v="17.5"/>
    <n v="41720"/>
    <x v="3"/>
    <s v="Medium"/>
    <s v="Pending"/>
    <x v="1"/>
    <s v="Motor"/>
    <n v="4.0999999999999996"/>
    <x v="6"/>
  </r>
  <r>
    <s v="AST1256"/>
    <x v="4"/>
    <x v="2"/>
    <x v="0"/>
    <s v="Machine-256"/>
    <n v="2025"/>
    <s v="2026-06-26"/>
    <x v="1"/>
    <x v="0"/>
    <n v="17.100000000000001"/>
    <n v="27163"/>
    <x v="2"/>
    <s v="Low"/>
    <s v="Completed"/>
    <x v="1"/>
    <s v="Sensor"/>
    <n v="9.1999999999999993"/>
    <x v="11"/>
  </r>
  <r>
    <s v="AST1257"/>
    <x v="2"/>
    <x v="4"/>
    <x v="5"/>
    <s v="Machine-257"/>
    <n v="2023"/>
    <s v="2026-02-26"/>
    <x v="0"/>
    <x v="0"/>
    <n v="1.9"/>
    <n v="24228"/>
    <x v="3"/>
    <s v="Medium"/>
    <s v="Pending"/>
    <x v="0"/>
    <s v="None"/>
    <n v="6.9"/>
    <x v="4"/>
  </r>
  <r>
    <s v="AST1258"/>
    <x v="3"/>
    <x v="4"/>
    <x v="4"/>
    <s v="Machine-258"/>
    <n v="2025"/>
    <s v="2026-03-27"/>
    <x v="0"/>
    <x v="0"/>
    <n v="1.7"/>
    <n v="18320"/>
    <x v="0"/>
    <s v="Low"/>
    <s v="Completed"/>
    <x v="2"/>
    <s v="Valve"/>
    <n v="7.5"/>
    <x v="11"/>
  </r>
  <r>
    <s v="AST1259"/>
    <x v="3"/>
    <x v="3"/>
    <x v="4"/>
    <s v="Machine-259"/>
    <n v="2016"/>
    <s v="2026-04-16"/>
    <x v="1"/>
    <x v="1"/>
    <n v="15"/>
    <n v="39383"/>
    <x v="5"/>
    <s v="Medium"/>
    <s v="Completed"/>
    <x v="2"/>
    <s v="Bearing"/>
    <n v="8.1"/>
    <x v="6"/>
  </r>
  <r>
    <s v="AST1260"/>
    <x v="0"/>
    <x v="0"/>
    <x v="4"/>
    <s v="Machine-260"/>
    <n v="2014"/>
    <s v="2026-03-17"/>
    <x v="2"/>
    <x v="1"/>
    <n v="6.5"/>
    <n v="26106"/>
    <x v="4"/>
    <s v="Low"/>
    <s v="Pending"/>
    <x v="0"/>
    <s v="Sensor"/>
    <n v="6.1"/>
    <x v="9"/>
  </r>
  <r>
    <s v="AST1261"/>
    <x v="0"/>
    <x v="3"/>
    <x v="3"/>
    <s v="Machine-261"/>
    <n v="2023"/>
    <s v="2026-05-04"/>
    <x v="0"/>
    <x v="4"/>
    <n v="3.2"/>
    <n v="8136"/>
    <x v="3"/>
    <s v="Medium"/>
    <s v="Completed"/>
    <x v="2"/>
    <s v="None"/>
    <n v="5.8"/>
    <x v="4"/>
  </r>
  <r>
    <s v="AST1262"/>
    <x v="4"/>
    <x v="0"/>
    <x v="4"/>
    <s v="Machine-262"/>
    <n v="2025"/>
    <s v="2026-05-19"/>
    <x v="0"/>
    <x v="1"/>
    <n v="7.4"/>
    <n v="37522"/>
    <x v="1"/>
    <s v="Medium"/>
    <s v="Completed"/>
    <x v="2"/>
    <s v="Bearing"/>
    <n v="4.5999999999999996"/>
    <x v="11"/>
  </r>
  <r>
    <s v="AST1263"/>
    <x v="2"/>
    <x v="3"/>
    <x v="0"/>
    <s v="Machine-263"/>
    <n v="2018"/>
    <s v="2026-07-30"/>
    <x v="0"/>
    <x v="3"/>
    <n v="3.5"/>
    <n v="20624"/>
    <x v="0"/>
    <s v="Critical"/>
    <s v="Completed"/>
    <x v="2"/>
    <s v="Valve"/>
    <n v="5"/>
    <x v="2"/>
  </r>
  <r>
    <s v="AST1264"/>
    <x v="0"/>
    <x v="1"/>
    <x v="5"/>
    <s v="Machine-264"/>
    <n v="2024"/>
    <s v="2026-03-09"/>
    <x v="0"/>
    <x v="4"/>
    <n v="7"/>
    <n v="30714"/>
    <x v="0"/>
    <s v="High"/>
    <s v="In Progress"/>
    <x v="2"/>
    <s v="Sensor"/>
    <n v="2.6"/>
    <x v="0"/>
  </r>
  <r>
    <s v="AST1265"/>
    <x v="0"/>
    <x v="2"/>
    <x v="2"/>
    <s v="Machine-265"/>
    <n v="2018"/>
    <s v="2026-05-25"/>
    <x v="1"/>
    <x v="1"/>
    <n v="2"/>
    <n v="24030"/>
    <x v="2"/>
    <s v="Critical"/>
    <s v="Pending"/>
    <x v="0"/>
    <s v="Belt"/>
    <n v="1.1000000000000001"/>
    <x v="2"/>
  </r>
  <r>
    <s v="AST1266"/>
    <x v="2"/>
    <x v="3"/>
    <x v="6"/>
    <s v="Machine-266"/>
    <n v="2020"/>
    <s v="2026-07-29"/>
    <x v="1"/>
    <x v="4"/>
    <n v="10.5"/>
    <n v="16943"/>
    <x v="1"/>
    <s v="High"/>
    <s v="Completed"/>
    <x v="2"/>
    <s v="None"/>
    <n v="0.8"/>
    <x v="3"/>
  </r>
  <r>
    <s v="AST1267"/>
    <x v="2"/>
    <x v="1"/>
    <x v="0"/>
    <s v="Machine-267"/>
    <n v="2023"/>
    <s v="2026-05-13"/>
    <x v="0"/>
    <x v="4"/>
    <n v="3.5"/>
    <n v="12455"/>
    <x v="4"/>
    <s v="Medium"/>
    <s v="Completed"/>
    <x v="0"/>
    <s v="Valve"/>
    <n v="1.2"/>
    <x v="4"/>
  </r>
  <r>
    <s v="AST1268"/>
    <x v="1"/>
    <x v="2"/>
    <x v="2"/>
    <s v="Machine-268"/>
    <n v="2024"/>
    <s v="2026-04-22"/>
    <x v="1"/>
    <x v="2"/>
    <n v="16.399999999999999"/>
    <n v="5891"/>
    <x v="0"/>
    <s v="Critical"/>
    <s v="Pending"/>
    <x v="2"/>
    <s v="Belt"/>
    <n v="3.6"/>
    <x v="0"/>
  </r>
  <r>
    <s v="AST1269"/>
    <x v="3"/>
    <x v="4"/>
    <x v="2"/>
    <s v="Machine-269"/>
    <n v="2018"/>
    <s v="2026-05-14"/>
    <x v="1"/>
    <x v="5"/>
    <n v="9.6"/>
    <n v="28998"/>
    <x v="0"/>
    <s v="Critical"/>
    <s v="Completed"/>
    <x v="0"/>
    <s v="Belt"/>
    <n v="6.1"/>
    <x v="2"/>
  </r>
  <r>
    <s v="AST1270"/>
    <x v="2"/>
    <x v="4"/>
    <x v="2"/>
    <s v="Machine-270"/>
    <n v="2015"/>
    <s v="2026-01-28"/>
    <x v="0"/>
    <x v="5"/>
    <n v="15.9"/>
    <n v="28428"/>
    <x v="3"/>
    <s v="Critical"/>
    <s v="Pending"/>
    <x v="2"/>
    <s v="Belt"/>
    <n v="6.3"/>
    <x v="10"/>
  </r>
  <r>
    <s v="AST1271"/>
    <x v="4"/>
    <x v="3"/>
    <x v="0"/>
    <s v="Machine-271"/>
    <n v="2014"/>
    <s v="2026-02-14"/>
    <x v="1"/>
    <x v="0"/>
    <n v="12.6"/>
    <n v="4041"/>
    <x v="1"/>
    <s v="High"/>
    <s v="Pending"/>
    <x v="0"/>
    <s v="Bearing"/>
    <n v="7.6"/>
    <x v="9"/>
  </r>
  <r>
    <s v="AST1272"/>
    <x v="0"/>
    <x v="0"/>
    <x v="2"/>
    <s v="Machine-272"/>
    <n v="2018"/>
    <s v="2026-04-06"/>
    <x v="1"/>
    <x v="2"/>
    <n v="5.4"/>
    <n v="33718"/>
    <x v="5"/>
    <s v="Low"/>
    <s v="Completed"/>
    <x v="0"/>
    <s v="Sensor"/>
    <n v="9.8000000000000007"/>
    <x v="2"/>
  </r>
  <r>
    <s v="AST1273"/>
    <x v="4"/>
    <x v="0"/>
    <x v="3"/>
    <s v="Machine-273"/>
    <n v="2021"/>
    <s v="2026-07-18"/>
    <x v="0"/>
    <x v="0"/>
    <n v="2.1"/>
    <n v="30448"/>
    <x v="4"/>
    <s v="Critical"/>
    <s v="Pending"/>
    <x v="2"/>
    <s v="Belt"/>
    <n v="8.6999999999999993"/>
    <x v="8"/>
  </r>
  <r>
    <s v="AST1274"/>
    <x v="1"/>
    <x v="4"/>
    <x v="4"/>
    <s v="Machine-274"/>
    <n v="2014"/>
    <s v="2026-05-12"/>
    <x v="1"/>
    <x v="4"/>
    <n v="2.9"/>
    <n v="35859"/>
    <x v="2"/>
    <s v="Low"/>
    <s v="Completed"/>
    <x v="0"/>
    <s v="Motor"/>
    <n v="8.5"/>
    <x v="9"/>
  </r>
  <r>
    <s v="AST1275"/>
    <x v="3"/>
    <x v="4"/>
    <x v="4"/>
    <s v="Machine-275"/>
    <n v="2017"/>
    <s v="2026-01-09"/>
    <x v="1"/>
    <x v="2"/>
    <n v="6.9"/>
    <n v="31923"/>
    <x v="2"/>
    <s v="Critical"/>
    <s v="Pending"/>
    <x v="0"/>
    <s v="None"/>
    <n v="0.8"/>
    <x v="7"/>
  </r>
  <r>
    <s v="AST1276"/>
    <x v="2"/>
    <x v="3"/>
    <x v="0"/>
    <s v="Machine-276"/>
    <n v="2019"/>
    <s v="2026-05-06"/>
    <x v="2"/>
    <x v="4"/>
    <n v="10.8"/>
    <n v="24421"/>
    <x v="3"/>
    <s v="Medium"/>
    <s v="In Progress"/>
    <x v="1"/>
    <s v="None"/>
    <n v="1.4"/>
    <x v="5"/>
  </r>
  <r>
    <s v="AST1277"/>
    <x v="0"/>
    <x v="2"/>
    <x v="2"/>
    <s v="Machine-277"/>
    <n v="2014"/>
    <s v="2026-04-09"/>
    <x v="1"/>
    <x v="3"/>
    <n v="15.5"/>
    <n v="43926"/>
    <x v="4"/>
    <s v="Medium"/>
    <s v="In Progress"/>
    <x v="1"/>
    <s v="Valve"/>
    <n v="5.4"/>
    <x v="9"/>
  </r>
  <r>
    <s v="AST1278"/>
    <x v="3"/>
    <x v="2"/>
    <x v="3"/>
    <s v="Machine-278"/>
    <n v="2024"/>
    <s v="2026-01-03"/>
    <x v="0"/>
    <x v="1"/>
    <n v="4.4000000000000004"/>
    <n v="41368"/>
    <x v="3"/>
    <s v="High"/>
    <s v="In Progress"/>
    <x v="2"/>
    <s v="Sensor"/>
    <n v="4.9000000000000004"/>
    <x v="0"/>
  </r>
  <r>
    <s v="AST1279"/>
    <x v="4"/>
    <x v="1"/>
    <x v="2"/>
    <s v="Machine-279"/>
    <n v="2017"/>
    <s v="2026-04-30"/>
    <x v="1"/>
    <x v="5"/>
    <n v="2.2999999999999998"/>
    <n v="35022"/>
    <x v="5"/>
    <s v="High"/>
    <s v="Pending"/>
    <x v="1"/>
    <s v="Belt"/>
    <n v="6.3"/>
    <x v="7"/>
  </r>
  <r>
    <s v="AST1280"/>
    <x v="0"/>
    <x v="3"/>
    <x v="1"/>
    <s v="Machine-280"/>
    <n v="2018"/>
    <s v="2026-06-25"/>
    <x v="0"/>
    <x v="2"/>
    <n v="11.7"/>
    <n v="19645"/>
    <x v="3"/>
    <s v="High"/>
    <s v="Completed"/>
    <x v="0"/>
    <s v="Belt"/>
    <n v="7.8"/>
    <x v="2"/>
  </r>
  <r>
    <s v="AST1281"/>
    <x v="2"/>
    <x v="3"/>
    <x v="3"/>
    <s v="Machine-281"/>
    <n v="2014"/>
    <s v="2026-07-26"/>
    <x v="0"/>
    <x v="3"/>
    <n v="13.1"/>
    <n v="44452"/>
    <x v="1"/>
    <s v="High"/>
    <s v="In Progress"/>
    <x v="2"/>
    <s v="Valve"/>
    <n v="4.2"/>
    <x v="9"/>
  </r>
  <r>
    <s v="AST1282"/>
    <x v="2"/>
    <x v="2"/>
    <x v="4"/>
    <s v="Machine-282"/>
    <n v="2014"/>
    <s v="2026-05-30"/>
    <x v="1"/>
    <x v="3"/>
    <n v="12.5"/>
    <n v="43332"/>
    <x v="1"/>
    <s v="High"/>
    <s v="Pending"/>
    <x v="2"/>
    <s v="Motor"/>
    <n v="8.5"/>
    <x v="9"/>
  </r>
  <r>
    <s v="AST1283"/>
    <x v="4"/>
    <x v="4"/>
    <x v="5"/>
    <s v="Machine-283"/>
    <n v="2022"/>
    <s v="2026-02-16"/>
    <x v="0"/>
    <x v="2"/>
    <n v="13.2"/>
    <n v="38136"/>
    <x v="4"/>
    <s v="High"/>
    <s v="Pending"/>
    <x v="0"/>
    <s v="Motor"/>
    <n v="3.9"/>
    <x v="1"/>
  </r>
  <r>
    <s v="AST1284"/>
    <x v="3"/>
    <x v="0"/>
    <x v="4"/>
    <s v="Machine-284"/>
    <n v="2025"/>
    <s v="2026-03-20"/>
    <x v="0"/>
    <x v="2"/>
    <n v="8.6"/>
    <n v="9218"/>
    <x v="1"/>
    <s v="Low"/>
    <s v="Pending"/>
    <x v="1"/>
    <s v="Belt"/>
    <n v="9.5"/>
    <x v="11"/>
  </r>
  <r>
    <s v="AST1285"/>
    <x v="1"/>
    <x v="1"/>
    <x v="1"/>
    <s v="Machine-285"/>
    <n v="2015"/>
    <s v="2026-05-01"/>
    <x v="2"/>
    <x v="4"/>
    <n v="9.8000000000000007"/>
    <n v="28573"/>
    <x v="0"/>
    <s v="Medium"/>
    <s v="Completed"/>
    <x v="0"/>
    <s v="Sensor"/>
    <n v="4.4000000000000004"/>
    <x v="10"/>
  </r>
  <r>
    <s v="AST1286"/>
    <x v="1"/>
    <x v="0"/>
    <x v="2"/>
    <s v="Machine-286"/>
    <n v="2023"/>
    <s v="2026-04-28"/>
    <x v="1"/>
    <x v="1"/>
    <n v="9"/>
    <n v="42855"/>
    <x v="4"/>
    <s v="High"/>
    <s v="Pending"/>
    <x v="0"/>
    <s v="Bearing"/>
    <n v="4.8"/>
    <x v="4"/>
  </r>
  <r>
    <s v="AST1287"/>
    <x v="1"/>
    <x v="1"/>
    <x v="2"/>
    <s v="Machine-287"/>
    <n v="2017"/>
    <s v="2026-07-14"/>
    <x v="0"/>
    <x v="1"/>
    <n v="2.8"/>
    <n v="29923"/>
    <x v="5"/>
    <s v="Critical"/>
    <s v="In Progress"/>
    <x v="2"/>
    <s v="Valve"/>
    <n v="4.0999999999999996"/>
    <x v="7"/>
  </r>
  <r>
    <s v="AST1288"/>
    <x v="1"/>
    <x v="0"/>
    <x v="1"/>
    <s v="Machine-288"/>
    <n v="2014"/>
    <s v="2026-05-17"/>
    <x v="2"/>
    <x v="5"/>
    <n v="3.8"/>
    <n v="1770"/>
    <x v="5"/>
    <s v="Medium"/>
    <s v="Completed"/>
    <x v="1"/>
    <s v="Sensor"/>
    <n v="3.5"/>
    <x v="9"/>
  </r>
  <r>
    <s v="AST1289"/>
    <x v="2"/>
    <x v="1"/>
    <x v="4"/>
    <s v="Machine-289"/>
    <n v="2015"/>
    <s v="2026-04-09"/>
    <x v="0"/>
    <x v="1"/>
    <n v="5.7"/>
    <n v="20559"/>
    <x v="1"/>
    <s v="High"/>
    <s v="In Progress"/>
    <x v="1"/>
    <s v="Motor"/>
    <n v="3.8"/>
    <x v="10"/>
  </r>
  <r>
    <s v="AST1290"/>
    <x v="1"/>
    <x v="2"/>
    <x v="2"/>
    <s v="Machine-290"/>
    <n v="2021"/>
    <s v="2026-04-02"/>
    <x v="0"/>
    <x v="3"/>
    <n v="4.4000000000000004"/>
    <n v="10098"/>
    <x v="4"/>
    <s v="Low"/>
    <s v="Pending"/>
    <x v="1"/>
    <s v="Motor"/>
    <n v="1.7"/>
    <x v="8"/>
  </r>
  <r>
    <s v="AST1291"/>
    <x v="0"/>
    <x v="3"/>
    <x v="3"/>
    <s v="Machine-291"/>
    <n v="2025"/>
    <s v="2026-06-16"/>
    <x v="0"/>
    <x v="5"/>
    <n v="11.4"/>
    <n v="40423"/>
    <x v="0"/>
    <s v="Low"/>
    <s v="Pending"/>
    <x v="0"/>
    <s v="Bearing"/>
    <n v="7.1"/>
    <x v="11"/>
  </r>
  <r>
    <s v="AST1292"/>
    <x v="3"/>
    <x v="4"/>
    <x v="6"/>
    <s v="Machine-292"/>
    <n v="2020"/>
    <s v="2026-04-24"/>
    <x v="0"/>
    <x v="0"/>
    <n v="3.2"/>
    <n v="42808"/>
    <x v="0"/>
    <s v="High"/>
    <s v="In Progress"/>
    <x v="1"/>
    <s v="Bearing"/>
    <n v="6.8"/>
    <x v="3"/>
  </r>
  <r>
    <s v="AST1293"/>
    <x v="2"/>
    <x v="2"/>
    <x v="5"/>
    <s v="Machine-293"/>
    <n v="2018"/>
    <s v="2026-06-09"/>
    <x v="1"/>
    <x v="1"/>
    <n v="9.5"/>
    <n v="41981"/>
    <x v="0"/>
    <s v="High"/>
    <s v="Completed"/>
    <x v="0"/>
    <s v="Valve"/>
    <n v="2.4"/>
    <x v="2"/>
  </r>
  <r>
    <s v="AST1294"/>
    <x v="4"/>
    <x v="1"/>
    <x v="0"/>
    <s v="Machine-294"/>
    <n v="2017"/>
    <s v="2026-07-19"/>
    <x v="0"/>
    <x v="4"/>
    <n v="5.7"/>
    <n v="4082"/>
    <x v="2"/>
    <s v="Critical"/>
    <s v="Completed"/>
    <x v="1"/>
    <s v="Valve"/>
    <n v="3.6"/>
    <x v="7"/>
  </r>
  <r>
    <s v="AST1295"/>
    <x v="0"/>
    <x v="4"/>
    <x v="2"/>
    <s v="Machine-295"/>
    <n v="2014"/>
    <s v="2026-01-04"/>
    <x v="1"/>
    <x v="4"/>
    <n v="3.1"/>
    <n v="7403"/>
    <x v="2"/>
    <s v="Low"/>
    <s v="Pending"/>
    <x v="1"/>
    <s v="Bearing"/>
    <n v="9.1"/>
    <x v="9"/>
  </r>
  <r>
    <s v="AST1296"/>
    <x v="3"/>
    <x v="0"/>
    <x v="4"/>
    <s v="Machine-296"/>
    <n v="2024"/>
    <s v="2026-03-01"/>
    <x v="0"/>
    <x v="1"/>
    <n v="14.7"/>
    <n v="4085"/>
    <x v="3"/>
    <s v="High"/>
    <s v="Pending"/>
    <x v="2"/>
    <s v="Valve"/>
    <n v="7.5"/>
    <x v="0"/>
  </r>
  <r>
    <s v="AST1297"/>
    <x v="0"/>
    <x v="4"/>
    <x v="2"/>
    <s v="Machine-297"/>
    <n v="2015"/>
    <s v="2026-07-14"/>
    <x v="0"/>
    <x v="0"/>
    <n v="3.5"/>
    <n v="24930"/>
    <x v="1"/>
    <s v="High"/>
    <s v="Pending"/>
    <x v="0"/>
    <s v="Sensor"/>
    <n v="8.1999999999999993"/>
    <x v="10"/>
  </r>
  <r>
    <s v="AST1298"/>
    <x v="3"/>
    <x v="3"/>
    <x v="5"/>
    <s v="Machine-298"/>
    <n v="2016"/>
    <s v="2026-01-30"/>
    <x v="0"/>
    <x v="4"/>
    <n v="12.6"/>
    <n v="32842"/>
    <x v="1"/>
    <s v="Medium"/>
    <s v="Completed"/>
    <x v="0"/>
    <s v="None"/>
    <n v="7.4"/>
    <x v="6"/>
  </r>
  <r>
    <s v="AST1299"/>
    <x v="3"/>
    <x v="1"/>
    <x v="5"/>
    <s v="Machine-299"/>
    <n v="2016"/>
    <s v="2026-01-27"/>
    <x v="1"/>
    <x v="0"/>
    <n v="8.1999999999999993"/>
    <n v="41563"/>
    <x v="1"/>
    <s v="High"/>
    <s v="Pending"/>
    <x v="0"/>
    <s v="None"/>
    <n v="8.9"/>
    <x v="6"/>
  </r>
  <r>
    <s v="AST1300"/>
    <x v="3"/>
    <x v="3"/>
    <x v="1"/>
    <s v="Machine-300"/>
    <n v="2025"/>
    <s v="2026-02-03"/>
    <x v="2"/>
    <x v="4"/>
    <n v="1.3"/>
    <n v="18645"/>
    <x v="5"/>
    <s v="High"/>
    <s v="Completed"/>
    <x v="1"/>
    <s v="None"/>
    <n v="5.5"/>
    <x v="11"/>
  </r>
  <r>
    <s v="AST1301"/>
    <x v="2"/>
    <x v="2"/>
    <x v="3"/>
    <s v="Machine-301"/>
    <n v="2025"/>
    <s v="2026-05-28"/>
    <x v="2"/>
    <x v="5"/>
    <n v="9.6999999999999993"/>
    <n v="42016"/>
    <x v="0"/>
    <s v="Critical"/>
    <s v="Pending"/>
    <x v="1"/>
    <s v="Motor"/>
    <n v="5.0999999999999996"/>
    <x v="11"/>
  </r>
  <r>
    <s v="AST1302"/>
    <x v="3"/>
    <x v="2"/>
    <x v="2"/>
    <s v="Machine-302"/>
    <n v="2024"/>
    <s v="2026-06-23"/>
    <x v="1"/>
    <x v="5"/>
    <n v="1.5"/>
    <n v="43665"/>
    <x v="4"/>
    <s v="Critical"/>
    <s v="In Progress"/>
    <x v="0"/>
    <s v="Bearing"/>
    <n v="7.6"/>
    <x v="0"/>
  </r>
  <r>
    <s v="AST1303"/>
    <x v="4"/>
    <x v="0"/>
    <x v="1"/>
    <s v="Machine-303"/>
    <n v="2019"/>
    <s v="2026-03-03"/>
    <x v="1"/>
    <x v="5"/>
    <n v="11.8"/>
    <n v="27929"/>
    <x v="4"/>
    <s v="Low"/>
    <s v="In Progress"/>
    <x v="2"/>
    <s v="Belt"/>
    <n v="4.8"/>
    <x v="5"/>
  </r>
  <r>
    <s v="AST1304"/>
    <x v="4"/>
    <x v="4"/>
    <x v="5"/>
    <s v="Machine-304"/>
    <n v="2021"/>
    <s v="2026-04-25"/>
    <x v="1"/>
    <x v="1"/>
    <n v="2.2999999999999998"/>
    <n v="28523"/>
    <x v="0"/>
    <s v="Low"/>
    <s v="Completed"/>
    <x v="1"/>
    <s v="Belt"/>
    <n v="6.6"/>
    <x v="8"/>
  </r>
  <r>
    <s v="AST1305"/>
    <x v="1"/>
    <x v="3"/>
    <x v="4"/>
    <s v="Machine-305"/>
    <n v="2022"/>
    <s v="2026-05-24"/>
    <x v="0"/>
    <x v="1"/>
    <n v="14.8"/>
    <n v="31283"/>
    <x v="3"/>
    <s v="Critical"/>
    <s v="Pending"/>
    <x v="1"/>
    <s v="Sensor"/>
    <n v="7.3"/>
    <x v="1"/>
  </r>
  <r>
    <s v="AST1306"/>
    <x v="1"/>
    <x v="4"/>
    <x v="4"/>
    <s v="Machine-306"/>
    <n v="2015"/>
    <s v="2026-01-25"/>
    <x v="0"/>
    <x v="0"/>
    <n v="17.399999999999999"/>
    <n v="20635"/>
    <x v="2"/>
    <s v="High"/>
    <s v="Pending"/>
    <x v="0"/>
    <s v="Bearing"/>
    <n v="9"/>
    <x v="10"/>
  </r>
  <r>
    <s v="AST1307"/>
    <x v="3"/>
    <x v="4"/>
    <x v="4"/>
    <s v="Machine-307"/>
    <n v="2021"/>
    <s v="2026-02-05"/>
    <x v="1"/>
    <x v="3"/>
    <n v="2.6"/>
    <n v="27248"/>
    <x v="4"/>
    <s v="Critical"/>
    <s v="Completed"/>
    <x v="1"/>
    <s v="Sensor"/>
    <n v="1.5"/>
    <x v="8"/>
  </r>
  <r>
    <s v="AST1308"/>
    <x v="2"/>
    <x v="4"/>
    <x v="2"/>
    <s v="Machine-308"/>
    <n v="2020"/>
    <s v="2026-01-12"/>
    <x v="2"/>
    <x v="4"/>
    <n v="12"/>
    <n v="34543"/>
    <x v="4"/>
    <s v="Critical"/>
    <s v="Completed"/>
    <x v="1"/>
    <s v="None"/>
    <n v="1"/>
    <x v="3"/>
  </r>
  <r>
    <s v="AST1309"/>
    <x v="3"/>
    <x v="1"/>
    <x v="2"/>
    <s v="Machine-309"/>
    <n v="2020"/>
    <s v="2026-05-30"/>
    <x v="2"/>
    <x v="3"/>
    <n v="12.6"/>
    <n v="12880"/>
    <x v="5"/>
    <s v="Medium"/>
    <s v="Completed"/>
    <x v="2"/>
    <s v="None"/>
    <n v="6.2"/>
    <x v="3"/>
  </r>
  <r>
    <s v="AST1310"/>
    <x v="3"/>
    <x v="3"/>
    <x v="6"/>
    <s v="Machine-310"/>
    <n v="2019"/>
    <s v="2026-05-10"/>
    <x v="2"/>
    <x v="3"/>
    <n v="5.3"/>
    <n v="23969"/>
    <x v="3"/>
    <s v="Critical"/>
    <s v="Completed"/>
    <x v="0"/>
    <s v="Valve"/>
    <n v="6.2"/>
    <x v="5"/>
  </r>
  <r>
    <s v="AST1311"/>
    <x v="4"/>
    <x v="1"/>
    <x v="2"/>
    <s v="Machine-311"/>
    <n v="2025"/>
    <s v="2026-05-12"/>
    <x v="0"/>
    <x v="0"/>
    <n v="16.899999999999999"/>
    <n v="42956"/>
    <x v="4"/>
    <s v="Medium"/>
    <s v="Completed"/>
    <x v="1"/>
    <s v="None"/>
    <n v="3.3"/>
    <x v="11"/>
  </r>
  <r>
    <s v="AST1312"/>
    <x v="1"/>
    <x v="2"/>
    <x v="6"/>
    <s v="Machine-312"/>
    <n v="2019"/>
    <s v="2026-06-22"/>
    <x v="1"/>
    <x v="0"/>
    <n v="6.1"/>
    <n v="9063"/>
    <x v="3"/>
    <s v="Critical"/>
    <s v="Pending"/>
    <x v="1"/>
    <s v="None"/>
    <n v="7.2"/>
    <x v="5"/>
  </r>
  <r>
    <s v="AST1313"/>
    <x v="2"/>
    <x v="0"/>
    <x v="2"/>
    <s v="Machine-313"/>
    <n v="2024"/>
    <s v="2026-07-11"/>
    <x v="0"/>
    <x v="1"/>
    <n v="9.6"/>
    <n v="3156"/>
    <x v="1"/>
    <s v="Medium"/>
    <s v="Completed"/>
    <x v="1"/>
    <s v="Bearing"/>
    <n v="2.4"/>
    <x v="0"/>
  </r>
  <r>
    <s v="AST1314"/>
    <x v="4"/>
    <x v="2"/>
    <x v="2"/>
    <s v="Machine-314"/>
    <n v="2016"/>
    <s v="2026-03-15"/>
    <x v="0"/>
    <x v="2"/>
    <n v="4.0999999999999996"/>
    <n v="36966"/>
    <x v="0"/>
    <s v="High"/>
    <s v="In Progress"/>
    <x v="0"/>
    <s v="Belt"/>
    <n v="8.6999999999999993"/>
    <x v="6"/>
  </r>
  <r>
    <s v="AST1315"/>
    <x v="1"/>
    <x v="1"/>
    <x v="5"/>
    <s v="Machine-315"/>
    <n v="2025"/>
    <s v="2026-05-24"/>
    <x v="0"/>
    <x v="0"/>
    <n v="5.5"/>
    <n v="4578"/>
    <x v="1"/>
    <s v="Critical"/>
    <s v="In Progress"/>
    <x v="1"/>
    <s v="Sensor"/>
    <n v="9.6999999999999993"/>
    <x v="11"/>
  </r>
  <r>
    <s v="AST1316"/>
    <x v="4"/>
    <x v="2"/>
    <x v="6"/>
    <s v="Machine-316"/>
    <n v="2014"/>
    <s v="2026-01-04"/>
    <x v="2"/>
    <x v="4"/>
    <n v="15"/>
    <n v="43035"/>
    <x v="5"/>
    <s v="High"/>
    <s v="Pending"/>
    <x v="1"/>
    <s v="None"/>
    <n v="6.2"/>
    <x v="9"/>
  </r>
  <r>
    <s v="AST1317"/>
    <x v="4"/>
    <x v="3"/>
    <x v="0"/>
    <s v="Machine-317"/>
    <n v="2025"/>
    <s v="2026-02-19"/>
    <x v="2"/>
    <x v="1"/>
    <n v="3.8"/>
    <n v="12889"/>
    <x v="5"/>
    <s v="Low"/>
    <s v="In Progress"/>
    <x v="0"/>
    <s v="Valve"/>
    <n v="3.2"/>
    <x v="11"/>
  </r>
  <r>
    <s v="AST1318"/>
    <x v="1"/>
    <x v="1"/>
    <x v="2"/>
    <s v="Machine-318"/>
    <n v="2018"/>
    <s v="2026-02-03"/>
    <x v="0"/>
    <x v="2"/>
    <n v="8.6999999999999993"/>
    <n v="11645"/>
    <x v="0"/>
    <s v="Medium"/>
    <s v="In Progress"/>
    <x v="1"/>
    <s v="Bearing"/>
    <n v="7.8"/>
    <x v="2"/>
  </r>
  <r>
    <s v="AST1319"/>
    <x v="4"/>
    <x v="3"/>
    <x v="2"/>
    <s v="Machine-319"/>
    <n v="2024"/>
    <s v="2026-06-07"/>
    <x v="1"/>
    <x v="2"/>
    <n v="1.8"/>
    <n v="22331"/>
    <x v="2"/>
    <s v="Medium"/>
    <s v="Completed"/>
    <x v="1"/>
    <s v="Bearing"/>
    <n v="8"/>
    <x v="0"/>
  </r>
  <r>
    <s v="AST1320"/>
    <x v="2"/>
    <x v="1"/>
    <x v="5"/>
    <s v="Machine-320"/>
    <n v="2016"/>
    <s v="2026-04-17"/>
    <x v="0"/>
    <x v="3"/>
    <n v="16"/>
    <n v="44972"/>
    <x v="3"/>
    <s v="High"/>
    <s v="In Progress"/>
    <x v="2"/>
    <s v="Motor"/>
    <n v="9.5"/>
    <x v="6"/>
  </r>
  <r>
    <s v="AST1321"/>
    <x v="3"/>
    <x v="1"/>
    <x v="2"/>
    <s v="Machine-321"/>
    <n v="2023"/>
    <s v="2026-05-16"/>
    <x v="1"/>
    <x v="0"/>
    <n v="0.7"/>
    <n v="24175"/>
    <x v="1"/>
    <s v="Medium"/>
    <s v="Pending"/>
    <x v="1"/>
    <s v="Belt"/>
    <n v="2.8"/>
    <x v="4"/>
  </r>
  <r>
    <s v="AST1322"/>
    <x v="4"/>
    <x v="3"/>
    <x v="2"/>
    <s v="Machine-322"/>
    <n v="2014"/>
    <s v="2026-06-24"/>
    <x v="2"/>
    <x v="4"/>
    <n v="5"/>
    <n v="20035"/>
    <x v="0"/>
    <s v="High"/>
    <s v="Pending"/>
    <x v="1"/>
    <s v="Valve"/>
    <n v="5.0999999999999996"/>
    <x v="9"/>
  </r>
  <r>
    <s v="AST1323"/>
    <x v="1"/>
    <x v="0"/>
    <x v="6"/>
    <s v="Machine-323"/>
    <n v="2018"/>
    <s v="2026-06-16"/>
    <x v="0"/>
    <x v="1"/>
    <n v="3.4"/>
    <n v="36756"/>
    <x v="2"/>
    <s v="Low"/>
    <s v="Pending"/>
    <x v="0"/>
    <s v="Motor"/>
    <n v="6.9"/>
    <x v="2"/>
  </r>
  <r>
    <s v="AST1324"/>
    <x v="3"/>
    <x v="4"/>
    <x v="0"/>
    <s v="Machine-324"/>
    <n v="2017"/>
    <s v="2026-06-25"/>
    <x v="1"/>
    <x v="0"/>
    <n v="15.9"/>
    <n v="30023"/>
    <x v="5"/>
    <s v="Low"/>
    <s v="Pending"/>
    <x v="1"/>
    <s v="Motor"/>
    <n v="0.7"/>
    <x v="7"/>
  </r>
  <r>
    <s v="AST1325"/>
    <x v="0"/>
    <x v="4"/>
    <x v="1"/>
    <s v="Machine-325"/>
    <n v="2025"/>
    <s v="2026-03-26"/>
    <x v="0"/>
    <x v="2"/>
    <n v="10.3"/>
    <n v="39180"/>
    <x v="4"/>
    <s v="High"/>
    <s v="In Progress"/>
    <x v="2"/>
    <s v="Valve"/>
    <n v="6.5"/>
    <x v="11"/>
  </r>
  <r>
    <s v="AST1326"/>
    <x v="0"/>
    <x v="3"/>
    <x v="3"/>
    <s v="Machine-326"/>
    <n v="2020"/>
    <s v="2026-03-22"/>
    <x v="0"/>
    <x v="1"/>
    <n v="11.7"/>
    <n v="42024"/>
    <x v="0"/>
    <s v="Low"/>
    <s v="Pending"/>
    <x v="0"/>
    <s v="Sensor"/>
    <n v="9.3000000000000007"/>
    <x v="3"/>
  </r>
  <r>
    <s v="AST1327"/>
    <x v="4"/>
    <x v="1"/>
    <x v="1"/>
    <s v="Machine-327"/>
    <n v="2015"/>
    <s v="2026-03-16"/>
    <x v="0"/>
    <x v="4"/>
    <n v="7.2"/>
    <n v="44801"/>
    <x v="0"/>
    <s v="Critical"/>
    <s v="Completed"/>
    <x v="1"/>
    <s v="Motor"/>
    <n v="1.8"/>
    <x v="10"/>
  </r>
  <r>
    <s v="AST1328"/>
    <x v="2"/>
    <x v="0"/>
    <x v="3"/>
    <s v="Machine-328"/>
    <n v="2020"/>
    <s v="2026-07-23"/>
    <x v="0"/>
    <x v="0"/>
    <n v="16"/>
    <n v="43963"/>
    <x v="3"/>
    <s v="Low"/>
    <s v="Pending"/>
    <x v="1"/>
    <s v="Motor"/>
    <n v="1.7"/>
    <x v="3"/>
  </r>
  <r>
    <s v="AST1329"/>
    <x v="2"/>
    <x v="3"/>
    <x v="6"/>
    <s v="Machine-329"/>
    <n v="2014"/>
    <s v="2026-05-27"/>
    <x v="1"/>
    <x v="1"/>
    <n v="5.8"/>
    <n v="24034"/>
    <x v="4"/>
    <s v="Critical"/>
    <s v="Pending"/>
    <x v="1"/>
    <s v="Motor"/>
    <n v="2"/>
    <x v="9"/>
  </r>
  <r>
    <s v="AST1330"/>
    <x v="4"/>
    <x v="2"/>
    <x v="1"/>
    <s v="Machine-330"/>
    <n v="2017"/>
    <s v="2026-06-07"/>
    <x v="0"/>
    <x v="5"/>
    <n v="15.4"/>
    <n v="37469"/>
    <x v="1"/>
    <s v="Low"/>
    <s v="In Progress"/>
    <x v="1"/>
    <s v="Bearing"/>
    <n v="2.9"/>
    <x v="7"/>
  </r>
  <r>
    <s v="AST1331"/>
    <x v="2"/>
    <x v="3"/>
    <x v="4"/>
    <s v="Machine-331"/>
    <n v="2017"/>
    <s v="2026-07-05"/>
    <x v="0"/>
    <x v="0"/>
    <n v="12"/>
    <n v="8056"/>
    <x v="3"/>
    <s v="Low"/>
    <s v="Completed"/>
    <x v="2"/>
    <s v="Valve"/>
    <n v="4.8"/>
    <x v="7"/>
  </r>
  <r>
    <s v="AST1332"/>
    <x v="4"/>
    <x v="1"/>
    <x v="0"/>
    <s v="Machine-332"/>
    <n v="2023"/>
    <s v="2026-06-18"/>
    <x v="1"/>
    <x v="2"/>
    <n v="14.6"/>
    <n v="29569"/>
    <x v="4"/>
    <s v="Low"/>
    <s v="In Progress"/>
    <x v="0"/>
    <s v="Motor"/>
    <n v="7.3"/>
    <x v="4"/>
  </r>
  <r>
    <s v="AST1333"/>
    <x v="4"/>
    <x v="0"/>
    <x v="0"/>
    <s v="Machine-333"/>
    <n v="2024"/>
    <s v="2026-04-22"/>
    <x v="1"/>
    <x v="2"/>
    <n v="15.9"/>
    <n v="31833"/>
    <x v="1"/>
    <s v="High"/>
    <s v="In Progress"/>
    <x v="2"/>
    <s v="Belt"/>
    <n v="1.5"/>
    <x v="0"/>
  </r>
  <r>
    <s v="AST1334"/>
    <x v="0"/>
    <x v="0"/>
    <x v="2"/>
    <s v="Machine-334"/>
    <n v="2024"/>
    <s v="2026-06-05"/>
    <x v="1"/>
    <x v="5"/>
    <n v="3.9"/>
    <n v="42566"/>
    <x v="0"/>
    <s v="Low"/>
    <s v="Completed"/>
    <x v="1"/>
    <s v="None"/>
    <n v="0.8"/>
    <x v="0"/>
  </r>
  <r>
    <s v="AST1335"/>
    <x v="3"/>
    <x v="1"/>
    <x v="0"/>
    <s v="Machine-335"/>
    <n v="2023"/>
    <s v="2026-05-29"/>
    <x v="2"/>
    <x v="5"/>
    <n v="5.0999999999999996"/>
    <n v="36868"/>
    <x v="1"/>
    <s v="Medium"/>
    <s v="In Progress"/>
    <x v="2"/>
    <s v="Motor"/>
    <n v="9"/>
    <x v="4"/>
  </r>
  <r>
    <s v="AST1336"/>
    <x v="4"/>
    <x v="2"/>
    <x v="5"/>
    <s v="Machine-336"/>
    <n v="2023"/>
    <s v="2026-07-07"/>
    <x v="1"/>
    <x v="1"/>
    <n v="7.4"/>
    <n v="34410"/>
    <x v="0"/>
    <s v="Medium"/>
    <s v="Pending"/>
    <x v="1"/>
    <s v="Motor"/>
    <n v="7.7"/>
    <x v="4"/>
  </r>
  <r>
    <s v="AST1337"/>
    <x v="1"/>
    <x v="2"/>
    <x v="6"/>
    <s v="Machine-337"/>
    <n v="2016"/>
    <s v="2026-04-25"/>
    <x v="2"/>
    <x v="0"/>
    <n v="15.8"/>
    <n v="11081"/>
    <x v="5"/>
    <s v="Critical"/>
    <s v="In Progress"/>
    <x v="0"/>
    <s v="Motor"/>
    <n v="7.7"/>
    <x v="6"/>
  </r>
  <r>
    <s v="AST1338"/>
    <x v="4"/>
    <x v="0"/>
    <x v="0"/>
    <s v="Machine-338"/>
    <n v="2017"/>
    <s v="2026-01-17"/>
    <x v="0"/>
    <x v="3"/>
    <n v="9.6"/>
    <n v="25174"/>
    <x v="1"/>
    <s v="Critical"/>
    <s v="In Progress"/>
    <x v="0"/>
    <s v="Bearing"/>
    <n v="9.8000000000000007"/>
    <x v="7"/>
  </r>
  <r>
    <s v="AST1339"/>
    <x v="2"/>
    <x v="0"/>
    <x v="2"/>
    <s v="Machine-339"/>
    <n v="2019"/>
    <s v="2026-01-27"/>
    <x v="1"/>
    <x v="5"/>
    <n v="10"/>
    <n v="12893"/>
    <x v="1"/>
    <s v="Critical"/>
    <s v="In Progress"/>
    <x v="1"/>
    <s v="None"/>
    <n v="9"/>
    <x v="5"/>
  </r>
  <r>
    <s v="AST1340"/>
    <x v="4"/>
    <x v="3"/>
    <x v="0"/>
    <s v="Machine-340"/>
    <n v="2015"/>
    <s v="2026-05-13"/>
    <x v="1"/>
    <x v="2"/>
    <n v="14.8"/>
    <n v="24112"/>
    <x v="1"/>
    <s v="Critical"/>
    <s v="Pending"/>
    <x v="0"/>
    <s v="Belt"/>
    <n v="8.9"/>
    <x v="10"/>
  </r>
  <r>
    <s v="AST1341"/>
    <x v="1"/>
    <x v="4"/>
    <x v="6"/>
    <s v="Machine-341"/>
    <n v="2021"/>
    <s v="2026-02-12"/>
    <x v="1"/>
    <x v="3"/>
    <n v="3.1"/>
    <n v="11812"/>
    <x v="3"/>
    <s v="Low"/>
    <s v="Pending"/>
    <x v="0"/>
    <s v="Valve"/>
    <n v="8.1999999999999993"/>
    <x v="8"/>
  </r>
  <r>
    <s v="AST1342"/>
    <x v="3"/>
    <x v="3"/>
    <x v="5"/>
    <s v="Machine-342"/>
    <n v="2025"/>
    <s v="2026-01-30"/>
    <x v="0"/>
    <x v="3"/>
    <n v="11.8"/>
    <n v="28428"/>
    <x v="0"/>
    <s v="Medium"/>
    <s v="Completed"/>
    <x v="0"/>
    <s v="Belt"/>
    <n v="6.1"/>
    <x v="11"/>
  </r>
  <r>
    <s v="AST1343"/>
    <x v="2"/>
    <x v="4"/>
    <x v="6"/>
    <s v="Machine-343"/>
    <n v="2016"/>
    <s v="2026-06-11"/>
    <x v="0"/>
    <x v="3"/>
    <n v="5"/>
    <n v="13298"/>
    <x v="2"/>
    <s v="Critical"/>
    <s v="Pending"/>
    <x v="1"/>
    <s v="None"/>
    <n v="0.7"/>
    <x v="6"/>
  </r>
  <r>
    <s v="AST1344"/>
    <x v="4"/>
    <x v="4"/>
    <x v="0"/>
    <s v="Machine-344"/>
    <n v="2025"/>
    <s v="2026-07-06"/>
    <x v="0"/>
    <x v="4"/>
    <n v="15.7"/>
    <n v="12678"/>
    <x v="4"/>
    <s v="Critical"/>
    <s v="Pending"/>
    <x v="0"/>
    <s v="Belt"/>
    <n v="8.3000000000000007"/>
    <x v="11"/>
  </r>
  <r>
    <s v="AST1345"/>
    <x v="2"/>
    <x v="0"/>
    <x v="0"/>
    <s v="Machine-345"/>
    <n v="2016"/>
    <s v="2026-06-09"/>
    <x v="1"/>
    <x v="2"/>
    <n v="16.600000000000001"/>
    <n v="40594"/>
    <x v="2"/>
    <s v="Low"/>
    <s v="Completed"/>
    <x v="2"/>
    <s v="Valve"/>
    <n v="1.8"/>
    <x v="6"/>
  </r>
  <r>
    <s v="AST1346"/>
    <x v="2"/>
    <x v="1"/>
    <x v="3"/>
    <s v="Machine-346"/>
    <n v="2014"/>
    <s v="2026-02-21"/>
    <x v="0"/>
    <x v="3"/>
    <n v="11.1"/>
    <n v="13127"/>
    <x v="1"/>
    <s v="Low"/>
    <s v="Pending"/>
    <x v="1"/>
    <s v="Bearing"/>
    <n v="1.4"/>
    <x v="9"/>
  </r>
  <r>
    <s v="AST1347"/>
    <x v="2"/>
    <x v="1"/>
    <x v="2"/>
    <s v="Machine-347"/>
    <n v="2024"/>
    <s v="2026-02-03"/>
    <x v="0"/>
    <x v="0"/>
    <n v="11.9"/>
    <n v="35712"/>
    <x v="1"/>
    <s v="High"/>
    <s v="Completed"/>
    <x v="1"/>
    <s v="Belt"/>
    <n v="4.5999999999999996"/>
    <x v="0"/>
  </r>
  <r>
    <s v="AST1348"/>
    <x v="3"/>
    <x v="0"/>
    <x v="6"/>
    <s v="Machine-348"/>
    <n v="2021"/>
    <s v="2026-07-22"/>
    <x v="1"/>
    <x v="0"/>
    <n v="10.6"/>
    <n v="29384"/>
    <x v="4"/>
    <s v="High"/>
    <s v="In Progress"/>
    <x v="0"/>
    <s v="Bearing"/>
    <n v="3.2"/>
    <x v="8"/>
  </r>
  <r>
    <s v="AST1349"/>
    <x v="4"/>
    <x v="2"/>
    <x v="1"/>
    <s v="Machine-349"/>
    <n v="2022"/>
    <s v="2026-04-15"/>
    <x v="1"/>
    <x v="1"/>
    <n v="10.6"/>
    <n v="9222"/>
    <x v="2"/>
    <s v="Low"/>
    <s v="In Progress"/>
    <x v="1"/>
    <s v="Motor"/>
    <n v="7"/>
    <x v="1"/>
  </r>
  <r>
    <s v="AST1350"/>
    <x v="4"/>
    <x v="4"/>
    <x v="0"/>
    <s v="Machine-350"/>
    <n v="2019"/>
    <s v="2026-04-15"/>
    <x v="0"/>
    <x v="5"/>
    <n v="4.9000000000000004"/>
    <n v="36634"/>
    <x v="1"/>
    <s v="High"/>
    <s v="Pending"/>
    <x v="2"/>
    <s v="None"/>
    <n v="4.3"/>
    <x v="5"/>
  </r>
  <r>
    <s v="AST1351"/>
    <x v="2"/>
    <x v="1"/>
    <x v="5"/>
    <s v="Machine-351"/>
    <n v="2017"/>
    <s v="2026-04-16"/>
    <x v="0"/>
    <x v="5"/>
    <n v="10.199999999999999"/>
    <n v="18131"/>
    <x v="3"/>
    <s v="High"/>
    <s v="Pending"/>
    <x v="2"/>
    <s v="None"/>
    <n v="1.8"/>
    <x v="7"/>
  </r>
  <r>
    <s v="AST1352"/>
    <x v="1"/>
    <x v="3"/>
    <x v="2"/>
    <s v="Machine-352"/>
    <n v="2024"/>
    <s v="2026-01-31"/>
    <x v="1"/>
    <x v="3"/>
    <n v="2.2999999999999998"/>
    <n v="34814"/>
    <x v="1"/>
    <s v="High"/>
    <s v="Pending"/>
    <x v="1"/>
    <s v="None"/>
    <n v="7"/>
    <x v="0"/>
  </r>
  <r>
    <s v="AST1353"/>
    <x v="3"/>
    <x v="4"/>
    <x v="2"/>
    <s v="Machine-353"/>
    <n v="2014"/>
    <s v="2026-02-11"/>
    <x v="0"/>
    <x v="3"/>
    <n v="8.8000000000000007"/>
    <n v="40837"/>
    <x v="1"/>
    <s v="Low"/>
    <s v="Completed"/>
    <x v="2"/>
    <s v="Motor"/>
    <n v="4"/>
    <x v="9"/>
  </r>
  <r>
    <s v="AST1354"/>
    <x v="3"/>
    <x v="3"/>
    <x v="6"/>
    <s v="Machine-354"/>
    <n v="2023"/>
    <s v="2026-01-10"/>
    <x v="1"/>
    <x v="2"/>
    <n v="13"/>
    <n v="40655"/>
    <x v="0"/>
    <s v="Medium"/>
    <s v="Pending"/>
    <x v="2"/>
    <s v="Valve"/>
    <n v="0.6"/>
    <x v="4"/>
  </r>
  <r>
    <s v="AST1355"/>
    <x v="2"/>
    <x v="0"/>
    <x v="0"/>
    <s v="Machine-355"/>
    <n v="2024"/>
    <s v="2026-07-25"/>
    <x v="0"/>
    <x v="5"/>
    <n v="9.4"/>
    <n v="16682"/>
    <x v="2"/>
    <s v="Medium"/>
    <s v="Pending"/>
    <x v="0"/>
    <s v="Sensor"/>
    <n v="2.8"/>
    <x v="0"/>
  </r>
  <r>
    <s v="AST1356"/>
    <x v="0"/>
    <x v="0"/>
    <x v="2"/>
    <s v="Machine-356"/>
    <n v="2014"/>
    <s v="2026-02-10"/>
    <x v="0"/>
    <x v="0"/>
    <n v="7.4"/>
    <n v="39909"/>
    <x v="4"/>
    <s v="Low"/>
    <s v="Pending"/>
    <x v="1"/>
    <s v="Bearing"/>
    <n v="9.1999999999999993"/>
    <x v="9"/>
  </r>
  <r>
    <s v="AST1357"/>
    <x v="2"/>
    <x v="1"/>
    <x v="4"/>
    <s v="Machine-357"/>
    <n v="2022"/>
    <s v="2026-03-14"/>
    <x v="0"/>
    <x v="2"/>
    <n v="4.5"/>
    <n v="14248"/>
    <x v="1"/>
    <s v="Critical"/>
    <s v="Pending"/>
    <x v="0"/>
    <s v="Sensor"/>
    <n v="2.2000000000000002"/>
    <x v="1"/>
  </r>
  <r>
    <s v="AST1358"/>
    <x v="2"/>
    <x v="4"/>
    <x v="6"/>
    <s v="Machine-358"/>
    <n v="2022"/>
    <s v="2026-01-28"/>
    <x v="0"/>
    <x v="1"/>
    <n v="14.6"/>
    <n v="18388"/>
    <x v="2"/>
    <s v="High"/>
    <s v="Pending"/>
    <x v="2"/>
    <s v="Valve"/>
    <n v="5.9"/>
    <x v="1"/>
  </r>
  <r>
    <s v="AST1359"/>
    <x v="4"/>
    <x v="3"/>
    <x v="3"/>
    <s v="Machine-359"/>
    <n v="2017"/>
    <s v="2026-07-13"/>
    <x v="0"/>
    <x v="5"/>
    <n v="15.6"/>
    <n v="33086"/>
    <x v="0"/>
    <s v="High"/>
    <s v="Completed"/>
    <x v="2"/>
    <s v="None"/>
    <n v="8"/>
    <x v="7"/>
  </r>
  <r>
    <s v="AST1360"/>
    <x v="1"/>
    <x v="0"/>
    <x v="5"/>
    <s v="Machine-360"/>
    <n v="2017"/>
    <s v="2026-06-23"/>
    <x v="2"/>
    <x v="5"/>
    <n v="9.9"/>
    <n v="18758"/>
    <x v="4"/>
    <s v="High"/>
    <s v="Completed"/>
    <x v="2"/>
    <s v="None"/>
    <n v="7.6"/>
    <x v="7"/>
  </r>
  <r>
    <s v="AST1361"/>
    <x v="2"/>
    <x v="2"/>
    <x v="5"/>
    <s v="Machine-361"/>
    <n v="2019"/>
    <s v="2026-01-20"/>
    <x v="0"/>
    <x v="3"/>
    <n v="16.2"/>
    <n v="19134"/>
    <x v="4"/>
    <s v="Medium"/>
    <s v="In Progress"/>
    <x v="1"/>
    <s v="Motor"/>
    <n v="2.7"/>
    <x v="5"/>
  </r>
  <r>
    <s v="AST1362"/>
    <x v="1"/>
    <x v="2"/>
    <x v="0"/>
    <s v="Machine-362"/>
    <n v="2017"/>
    <s v="2026-03-09"/>
    <x v="1"/>
    <x v="5"/>
    <n v="6.7"/>
    <n v="8491"/>
    <x v="0"/>
    <s v="Low"/>
    <s v="Pending"/>
    <x v="1"/>
    <s v="Valve"/>
    <n v="6.3"/>
    <x v="7"/>
  </r>
  <r>
    <s v="AST1363"/>
    <x v="3"/>
    <x v="0"/>
    <x v="6"/>
    <s v="Machine-363"/>
    <n v="2022"/>
    <s v="2026-01-11"/>
    <x v="0"/>
    <x v="5"/>
    <n v="15.7"/>
    <n v="33665"/>
    <x v="4"/>
    <s v="High"/>
    <s v="In Progress"/>
    <x v="0"/>
    <s v="Belt"/>
    <n v="1.7"/>
    <x v="1"/>
  </r>
  <r>
    <s v="AST1364"/>
    <x v="3"/>
    <x v="3"/>
    <x v="6"/>
    <s v="Machine-364"/>
    <n v="2022"/>
    <s v="2026-07-24"/>
    <x v="0"/>
    <x v="2"/>
    <n v="7.4"/>
    <n v="12955"/>
    <x v="1"/>
    <s v="Low"/>
    <s v="Pending"/>
    <x v="1"/>
    <s v="Valve"/>
    <n v="3.5"/>
    <x v="1"/>
  </r>
  <r>
    <s v="AST1365"/>
    <x v="1"/>
    <x v="3"/>
    <x v="6"/>
    <s v="Machine-365"/>
    <n v="2014"/>
    <s v="2026-01-04"/>
    <x v="0"/>
    <x v="2"/>
    <n v="11.2"/>
    <n v="18519"/>
    <x v="4"/>
    <s v="High"/>
    <s v="Completed"/>
    <x v="2"/>
    <s v="Valve"/>
    <n v="9.6"/>
    <x v="9"/>
  </r>
  <r>
    <s v="AST1366"/>
    <x v="1"/>
    <x v="3"/>
    <x v="5"/>
    <s v="Machine-366"/>
    <n v="2019"/>
    <s v="2026-04-04"/>
    <x v="0"/>
    <x v="0"/>
    <n v="13.7"/>
    <n v="25425"/>
    <x v="1"/>
    <s v="High"/>
    <s v="In Progress"/>
    <x v="0"/>
    <s v="Belt"/>
    <n v="1.7"/>
    <x v="5"/>
  </r>
  <r>
    <s v="AST1367"/>
    <x v="1"/>
    <x v="4"/>
    <x v="3"/>
    <s v="Machine-367"/>
    <n v="2023"/>
    <s v="2026-06-25"/>
    <x v="0"/>
    <x v="3"/>
    <n v="10.199999999999999"/>
    <n v="26461"/>
    <x v="4"/>
    <s v="Medium"/>
    <s v="Pending"/>
    <x v="0"/>
    <s v="Valve"/>
    <n v="8.1999999999999993"/>
    <x v="4"/>
  </r>
  <r>
    <s v="AST1368"/>
    <x v="3"/>
    <x v="2"/>
    <x v="2"/>
    <s v="Machine-368"/>
    <n v="2016"/>
    <s v="2026-04-18"/>
    <x v="1"/>
    <x v="5"/>
    <n v="13.1"/>
    <n v="33391"/>
    <x v="3"/>
    <s v="High"/>
    <s v="Pending"/>
    <x v="1"/>
    <s v="Bearing"/>
    <n v="4.3"/>
    <x v="6"/>
  </r>
  <r>
    <s v="AST1369"/>
    <x v="0"/>
    <x v="2"/>
    <x v="2"/>
    <s v="Machine-369"/>
    <n v="2025"/>
    <s v="2026-02-11"/>
    <x v="0"/>
    <x v="0"/>
    <n v="2.2000000000000002"/>
    <n v="23432"/>
    <x v="3"/>
    <s v="High"/>
    <s v="In Progress"/>
    <x v="1"/>
    <s v="Belt"/>
    <n v="9.4"/>
    <x v="11"/>
  </r>
  <r>
    <s v="AST1370"/>
    <x v="0"/>
    <x v="3"/>
    <x v="1"/>
    <s v="Machine-370"/>
    <n v="2018"/>
    <s v="2026-03-30"/>
    <x v="0"/>
    <x v="0"/>
    <n v="17.399999999999999"/>
    <n v="14538"/>
    <x v="2"/>
    <s v="Medium"/>
    <s v="In Progress"/>
    <x v="2"/>
    <s v="Sensor"/>
    <n v="6.9"/>
    <x v="2"/>
  </r>
  <r>
    <s v="AST1371"/>
    <x v="3"/>
    <x v="4"/>
    <x v="5"/>
    <s v="Machine-371"/>
    <n v="2021"/>
    <s v="2026-07-18"/>
    <x v="1"/>
    <x v="4"/>
    <n v="11.6"/>
    <n v="10992"/>
    <x v="4"/>
    <s v="High"/>
    <s v="In Progress"/>
    <x v="1"/>
    <s v="Belt"/>
    <n v="5.9"/>
    <x v="8"/>
  </r>
  <r>
    <s v="AST1372"/>
    <x v="1"/>
    <x v="0"/>
    <x v="0"/>
    <s v="Machine-372"/>
    <n v="2015"/>
    <s v="2026-01-21"/>
    <x v="0"/>
    <x v="0"/>
    <n v="5.6"/>
    <n v="19029"/>
    <x v="2"/>
    <s v="Critical"/>
    <s v="In Progress"/>
    <x v="2"/>
    <s v="Sensor"/>
    <n v="7.6"/>
    <x v="10"/>
  </r>
  <r>
    <s v="AST1373"/>
    <x v="3"/>
    <x v="2"/>
    <x v="0"/>
    <s v="Machine-373"/>
    <n v="2022"/>
    <s v="2026-04-26"/>
    <x v="2"/>
    <x v="3"/>
    <n v="13.2"/>
    <n v="44886"/>
    <x v="3"/>
    <s v="Low"/>
    <s v="Completed"/>
    <x v="0"/>
    <s v="Valve"/>
    <n v="1.5"/>
    <x v="1"/>
  </r>
  <r>
    <s v="AST1374"/>
    <x v="2"/>
    <x v="4"/>
    <x v="1"/>
    <s v="Machine-374"/>
    <n v="2015"/>
    <s v="2026-05-02"/>
    <x v="1"/>
    <x v="5"/>
    <n v="13.9"/>
    <n v="6955"/>
    <x v="0"/>
    <s v="High"/>
    <s v="Pending"/>
    <x v="0"/>
    <s v="Bearing"/>
    <n v="6.7"/>
    <x v="10"/>
  </r>
  <r>
    <s v="AST1375"/>
    <x v="1"/>
    <x v="2"/>
    <x v="3"/>
    <s v="Machine-375"/>
    <n v="2020"/>
    <s v="2026-03-21"/>
    <x v="0"/>
    <x v="0"/>
    <n v="2.7"/>
    <n v="36020"/>
    <x v="4"/>
    <s v="Low"/>
    <s v="Completed"/>
    <x v="1"/>
    <s v="Sensor"/>
    <n v="8.6999999999999993"/>
    <x v="3"/>
  </r>
  <r>
    <s v="AST1376"/>
    <x v="3"/>
    <x v="1"/>
    <x v="4"/>
    <s v="Machine-376"/>
    <n v="2019"/>
    <s v="2026-05-02"/>
    <x v="1"/>
    <x v="3"/>
    <n v="17.5"/>
    <n v="36842"/>
    <x v="4"/>
    <s v="Critical"/>
    <s v="Pending"/>
    <x v="1"/>
    <s v="None"/>
    <n v="8.8000000000000007"/>
    <x v="5"/>
  </r>
  <r>
    <s v="AST1377"/>
    <x v="2"/>
    <x v="0"/>
    <x v="4"/>
    <s v="Machine-377"/>
    <n v="2020"/>
    <s v="2026-05-15"/>
    <x v="0"/>
    <x v="3"/>
    <n v="14.6"/>
    <n v="30457"/>
    <x v="3"/>
    <s v="High"/>
    <s v="In Progress"/>
    <x v="2"/>
    <s v="Motor"/>
    <n v="3.4"/>
    <x v="3"/>
  </r>
  <r>
    <s v="AST1378"/>
    <x v="1"/>
    <x v="0"/>
    <x v="4"/>
    <s v="Machine-378"/>
    <n v="2014"/>
    <s v="2026-05-14"/>
    <x v="0"/>
    <x v="1"/>
    <n v="12.5"/>
    <n v="33739"/>
    <x v="1"/>
    <s v="High"/>
    <s v="Completed"/>
    <x v="2"/>
    <s v="Sensor"/>
    <n v="6.2"/>
    <x v="9"/>
  </r>
  <r>
    <s v="AST1379"/>
    <x v="4"/>
    <x v="2"/>
    <x v="5"/>
    <s v="Machine-379"/>
    <n v="2014"/>
    <s v="2026-05-21"/>
    <x v="2"/>
    <x v="4"/>
    <n v="7.4"/>
    <n v="12200"/>
    <x v="5"/>
    <s v="Critical"/>
    <s v="In Progress"/>
    <x v="0"/>
    <s v="Sensor"/>
    <n v="1.3"/>
    <x v="9"/>
  </r>
  <r>
    <s v="AST1380"/>
    <x v="2"/>
    <x v="1"/>
    <x v="2"/>
    <s v="Machine-380"/>
    <n v="2024"/>
    <s v="2026-03-03"/>
    <x v="1"/>
    <x v="2"/>
    <n v="5.5"/>
    <n v="36361"/>
    <x v="3"/>
    <s v="Critical"/>
    <s v="Completed"/>
    <x v="0"/>
    <s v="Motor"/>
    <n v="1.8"/>
    <x v="0"/>
  </r>
  <r>
    <s v="AST1381"/>
    <x v="3"/>
    <x v="1"/>
    <x v="5"/>
    <s v="Machine-381"/>
    <n v="2015"/>
    <s v="2026-06-13"/>
    <x v="0"/>
    <x v="5"/>
    <n v="9.1"/>
    <n v="22513"/>
    <x v="0"/>
    <s v="Medium"/>
    <s v="Completed"/>
    <x v="1"/>
    <s v="Bearing"/>
    <n v="2.2999999999999998"/>
    <x v="10"/>
  </r>
  <r>
    <s v="AST1382"/>
    <x v="4"/>
    <x v="2"/>
    <x v="3"/>
    <s v="Machine-382"/>
    <n v="2015"/>
    <s v="2026-03-14"/>
    <x v="0"/>
    <x v="1"/>
    <n v="4.5999999999999996"/>
    <n v="11375"/>
    <x v="0"/>
    <s v="Critical"/>
    <s v="Completed"/>
    <x v="2"/>
    <s v="Valve"/>
    <n v="3.5"/>
    <x v="10"/>
  </r>
  <r>
    <s v="AST1383"/>
    <x v="3"/>
    <x v="4"/>
    <x v="4"/>
    <s v="Machine-383"/>
    <n v="2021"/>
    <s v="2026-04-06"/>
    <x v="0"/>
    <x v="3"/>
    <n v="1.5"/>
    <n v="27217"/>
    <x v="0"/>
    <s v="Critical"/>
    <s v="Completed"/>
    <x v="0"/>
    <s v="Sensor"/>
    <n v="8.3000000000000007"/>
    <x v="8"/>
  </r>
  <r>
    <s v="AST1384"/>
    <x v="1"/>
    <x v="3"/>
    <x v="2"/>
    <s v="Machine-384"/>
    <n v="2014"/>
    <s v="2026-02-01"/>
    <x v="2"/>
    <x v="3"/>
    <n v="13.4"/>
    <n v="3696"/>
    <x v="4"/>
    <s v="Critical"/>
    <s v="Pending"/>
    <x v="0"/>
    <s v="Belt"/>
    <n v="6.8"/>
    <x v="9"/>
  </r>
  <r>
    <s v="AST1385"/>
    <x v="3"/>
    <x v="0"/>
    <x v="4"/>
    <s v="Machine-385"/>
    <n v="2017"/>
    <s v="2026-05-02"/>
    <x v="0"/>
    <x v="0"/>
    <n v="1.2"/>
    <n v="37517"/>
    <x v="2"/>
    <s v="Low"/>
    <s v="In Progress"/>
    <x v="2"/>
    <s v="None"/>
    <n v="3.3"/>
    <x v="7"/>
  </r>
  <r>
    <s v="AST1386"/>
    <x v="1"/>
    <x v="4"/>
    <x v="0"/>
    <s v="Machine-386"/>
    <n v="2019"/>
    <s v="2026-01-14"/>
    <x v="1"/>
    <x v="2"/>
    <n v="0.8"/>
    <n v="19594"/>
    <x v="2"/>
    <s v="Low"/>
    <s v="In Progress"/>
    <x v="0"/>
    <s v="Bearing"/>
    <n v="9.6999999999999993"/>
    <x v="5"/>
  </r>
  <r>
    <s v="AST1387"/>
    <x v="3"/>
    <x v="1"/>
    <x v="0"/>
    <s v="Machine-387"/>
    <n v="2023"/>
    <s v="2026-07-20"/>
    <x v="0"/>
    <x v="1"/>
    <n v="4.9000000000000004"/>
    <n v="34262"/>
    <x v="0"/>
    <s v="High"/>
    <s v="Pending"/>
    <x v="0"/>
    <s v="Bearing"/>
    <n v="3.9"/>
    <x v="4"/>
  </r>
  <r>
    <s v="AST1388"/>
    <x v="2"/>
    <x v="4"/>
    <x v="0"/>
    <s v="Machine-388"/>
    <n v="2016"/>
    <s v="2026-06-29"/>
    <x v="0"/>
    <x v="2"/>
    <n v="17.7"/>
    <n v="43747"/>
    <x v="3"/>
    <s v="Critical"/>
    <s v="Pending"/>
    <x v="0"/>
    <s v="Bearing"/>
    <n v="7"/>
    <x v="6"/>
  </r>
  <r>
    <s v="AST1389"/>
    <x v="1"/>
    <x v="0"/>
    <x v="1"/>
    <s v="Machine-389"/>
    <n v="2019"/>
    <s v="2026-07-05"/>
    <x v="0"/>
    <x v="4"/>
    <n v="10.3"/>
    <n v="37068"/>
    <x v="5"/>
    <s v="Critical"/>
    <s v="Completed"/>
    <x v="1"/>
    <s v="Motor"/>
    <n v="5.7"/>
    <x v="5"/>
  </r>
  <r>
    <s v="AST1390"/>
    <x v="3"/>
    <x v="0"/>
    <x v="2"/>
    <s v="Machine-390"/>
    <n v="2019"/>
    <s v="2026-07-07"/>
    <x v="1"/>
    <x v="5"/>
    <n v="3.3"/>
    <n v="36308"/>
    <x v="4"/>
    <s v="Critical"/>
    <s v="In Progress"/>
    <x v="2"/>
    <s v="Belt"/>
    <n v="4"/>
    <x v="5"/>
  </r>
  <r>
    <s v="AST1391"/>
    <x v="2"/>
    <x v="3"/>
    <x v="3"/>
    <s v="Machine-391"/>
    <n v="2014"/>
    <s v="2026-07-18"/>
    <x v="0"/>
    <x v="1"/>
    <n v="11.3"/>
    <n v="25360"/>
    <x v="2"/>
    <s v="Medium"/>
    <s v="In Progress"/>
    <x v="1"/>
    <s v="Bearing"/>
    <n v="6.8"/>
    <x v="9"/>
  </r>
  <r>
    <s v="AST1392"/>
    <x v="3"/>
    <x v="2"/>
    <x v="6"/>
    <s v="Machine-392"/>
    <n v="2022"/>
    <s v="2026-07-29"/>
    <x v="1"/>
    <x v="5"/>
    <n v="3.2"/>
    <n v="20055"/>
    <x v="3"/>
    <s v="Critical"/>
    <s v="Pending"/>
    <x v="2"/>
    <s v="Bearing"/>
    <n v="1.4"/>
    <x v="1"/>
  </r>
  <r>
    <s v="AST1393"/>
    <x v="0"/>
    <x v="2"/>
    <x v="0"/>
    <s v="Machine-393"/>
    <n v="2024"/>
    <s v="2026-01-18"/>
    <x v="2"/>
    <x v="3"/>
    <n v="2.4"/>
    <n v="14057"/>
    <x v="0"/>
    <s v="Low"/>
    <s v="Pending"/>
    <x v="1"/>
    <s v="Valve"/>
    <n v="6.8"/>
    <x v="0"/>
  </r>
  <r>
    <s v="AST1394"/>
    <x v="2"/>
    <x v="0"/>
    <x v="1"/>
    <s v="Machine-394"/>
    <n v="2022"/>
    <s v="2026-06-09"/>
    <x v="0"/>
    <x v="5"/>
    <n v="13.1"/>
    <n v="2357"/>
    <x v="4"/>
    <s v="Critical"/>
    <s v="Completed"/>
    <x v="2"/>
    <s v="None"/>
    <n v="1.1000000000000001"/>
    <x v="1"/>
  </r>
  <r>
    <s v="AST1395"/>
    <x v="3"/>
    <x v="0"/>
    <x v="2"/>
    <s v="Machine-395"/>
    <n v="2022"/>
    <s v="2026-07-10"/>
    <x v="1"/>
    <x v="5"/>
    <n v="5.2"/>
    <n v="4164"/>
    <x v="5"/>
    <s v="Low"/>
    <s v="In Progress"/>
    <x v="0"/>
    <s v="Motor"/>
    <n v="9.6"/>
    <x v="1"/>
  </r>
  <r>
    <s v="AST1396"/>
    <x v="1"/>
    <x v="1"/>
    <x v="5"/>
    <s v="Machine-396"/>
    <n v="2015"/>
    <s v="2026-01-26"/>
    <x v="0"/>
    <x v="5"/>
    <n v="12"/>
    <n v="38857"/>
    <x v="5"/>
    <s v="Medium"/>
    <s v="Pending"/>
    <x v="1"/>
    <s v="Belt"/>
    <n v="4.4000000000000004"/>
    <x v="10"/>
  </r>
  <r>
    <s v="AST1397"/>
    <x v="2"/>
    <x v="0"/>
    <x v="3"/>
    <s v="Machine-397"/>
    <n v="2015"/>
    <s v="2026-07-16"/>
    <x v="0"/>
    <x v="0"/>
    <n v="8"/>
    <n v="8322"/>
    <x v="4"/>
    <s v="Medium"/>
    <s v="Pending"/>
    <x v="2"/>
    <s v="Belt"/>
    <n v="3.7"/>
    <x v="10"/>
  </r>
  <r>
    <s v="AST1398"/>
    <x v="2"/>
    <x v="3"/>
    <x v="4"/>
    <s v="Machine-398"/>
    <n v="2016"/>
    <s v="2026-05-17"/>
    <x v="2"/>
    <x v="5"/>
    <n v="17.899999999999999"/>
    <n v="22776"/>
    <x v="3"/>
    <s v="Critical"/>
    <s v="Pending"/>
    <x v="2"/>
    <s v="None"/>
    <n v="3.6"/>
    <x v="6"/>
  </r>
  <r>
    <s v="AST1399"/>
    <x v="2"/>
    <x v="2"/>
    <x v="5"/>
    <s v="Machine-399"/>
    <n v="2017"/>
    <s v="2026-05-25"/>
    <x v="1"/>
    <x v="0"/>
    <n v="4.9000000000000004"/>
    <n v="31148"/>
    <x v="1"/>
    <s v="Critical"/>
    <s v="Completed"/>
    <x v="1"/>
    <s v="Bearing"/>
    <n v="9.8000000000000007"/>
    <x v="7"/>
  </r>
  <r>
    <s v="AST1400"/>
    <x v="2"/>
    <x v="2"/>
    <x v="4"/>
    <s v="Machine-400"/>
    <n v="2023"/>
    <s v="2026-01-05"/>
    <x v="0"/>
    <x v="3"/>
    <n v="4.3"/>
    <n v="22137"/>
    <x v="0"/>
    <s v="High"/>
    <s v="Pending"/>
    <x v="1"/>
    <s v="Belt"/>
    <n v="5.9"/>
    <x v="4"/>
  </r>
  <r>
    <s v="AST1401"/>
    <x v="0"/>
    <x v="4"/>
    <x v="5"/>
    <s v="Machine-401"/>
    <n v="2023"/>
    <s v="2026-02-09"/>
    <x v="0"/>
    <x v="3"/>
    <n v="5.0999999999999996"/>
    <n v="39652"/>
    <x v="4"/>
    <s v="Medium"/>
    <s v="In Progress"/>
    <x v="2"/>
    <s v="Bearing"/>
    <n v="5.9"/>
    <x v="4"/>
  </r>
  <r>
    <s v="AST1402"/>
    <x v="0"/>
    <x v="0"/>
    <x v="2"/>
    <s v="Machine-402"/>
    <n v="2023"/>
    <s v="2026-02-25"/>
    <x v="0"/>
    <x v="4"/>
    <n v="14.9"/>
    <n v="39263"/>
    <x v="0"/>
    <s v="High"/>
    <s v="Completed"/>
    <x v="1"/>
    <s v="Belt"/>
    <n v="4.0999999999999996"/>
    <x v="4"/>
  </r>
  <r>
    <s v="AST1403"/>
    <x v="4"/>
    <x v="0"/>
    <x v="2"/>
    <s v="Machine-403"/>
    <n v="2014"/>
    <s v="2026-07-17"/>
    <x v="0"/>
    <x v="1"/>
    <n v="15.7"/>
    <n v="16358"/>
    <x v="5"/>
    <s v="Low"/>
    <s v="Pending"/>
    <x v="1"/>
    <s v="Valve"/>
    <n v="1"/>
    <x v="9"/>
  </r>
  <r>
    <s v="AST1404"/>
    <x v="4"/>
    <x v="1"/>
    <x v="6"/>
    <s v="Machine-404"/>
    <n v="2022"/>
    <s v="2026-01-11"/>
    <x v="0"/>
    <x v="5"/>
    <n v="12.7"/>
    <n v="11539"/>
    <x v="0"/>
    <s v="Critical"/>
    <s v="In Progress"/>
    <x v="1"/>
    <s v="Belt"/>
    <n v="5.3"/>
    <x v="1"/>
  </r>
  <r>
    <s v="AST1405"/>
    <x v="4"/>
    <x v="3"/>
    <x v="0"/>
    <s v="Machine-405"/>
    <n v="2017"/>
    <s v="2026-04-21"/>
    <x v="0"/>
    <x v="1"/>
    <n v="8.8000000000000007"/>
    <n v="4731"/>
    <x v="2"/>
    <s v="Critical"/>
    <s v="In Progress"/>
    <x v="0"/>
    <s v="Valve"/>
    <n v="5.3"/>
    <x v="7"/>
  </r>
  <r>
    <s v="AST1406"/>
    <x v="1"/>
    <x v="3"/>
    <x v="6"/>
    <s v="Machine-406"/>
    <n v="2025"/>
    <s v="2026-02-03"/>
    <x v="0"/>
    <x v="4"/>
    <n v="11.9"/>
    <n v="14351"/>
    <x v="2"/>
    <s v="Medium"/>
    <s v="Completed"/>
    <x v="0"/>
    <s v="Sensor"/>
    <n v="7.9"/>
    <x v="11"/>
  </r>
  <r>
    <s v="AST1407"/>
    <x v="2"/>
    <x v="4"/>
    <x v="1"/>
    <s v="Machine-407"/>
    <n v="2019"/>
    <s v="2026-06-25"/>
    <x v="1"/>
    <x v="4"/>
    <n v="6.9"/>
    <n v="13983"/>
    <x v="3"/>
    <s v="High"/>
    <s v="Pending"/>
    <x v="1"/>
    <s v="Bearing"/>
    <n v="7.8"/>
    <x v="5"/>
  </r>
  <r>
    <s v="AST1408"/>
    <x v="2"/>
    <x v="3"/>
    <x v="6"/>
    <s v="Machine-408"/>
    <n v="2016"/>
    <s v="2026-03-31"/>
    <x v="0"/>
    <x v="1"/>
    <n v="16.7"/>
    <n v="16801"/>
    <x v="4"/>
    <s v="High"/>
    <s v="Completed"/>
    <x v="1"/>
    <s v="Bearing"/>
    <n v="1.6"/>
    <x v="6"/>
  </r>
  <r>
    <s v="AST1409"/>
    <x v="2"/>
    <x v="2"/>
    <x v="2"/>
    <s v="Machine-409"/>
    <n v="2014"/>
    <s v="2026-03-04"/>
    <x v="1"/>
    <x v="2"/>
    <n v="0.7"/>
    <n v="8792"/>
    <x v="3"/>
    <s v="Critical"/>
    <s v="In Progress"/>
    <x v="0"/>
    <s v="Sensor"/>
    <n v="2.5"/>
    <x v="9"/>
  </r>
  <r>
    <s v="AST1410"/>
    <x v="1"/>
    <x v="1"/>
    <x v="6"/>
    <s v="Machine-410"/>
    <n v="2022"/>
    <s v="2026-02-24"/>
    <x v="1"/>
    <x v="5"/>
    <n v="9"/>
    <n v="10763"/>
    <x v="5"/>
    <s v="Low"/>
    <s v="In Progress"/>
    <x v="1"/>
    <s v="None"/>
    <n v="5.5"/>
    <x v="1"/>
  </r>
  <r>
    <s v="AST1411"/>
    <x v="0"/>
    <x v="0"/>
    <x v="0"/>
    <s v="Machine-411"/>
    <n v="2018"/>
    <s v="2026-02-13"/>
    <x v="1"/>
    <x v="5"/>
    <n v="5.2"/>
    <n v="31971"/>
    <x v="5"/>
    <s v="Low"/>
    <s v="Completed"/>
    <x v="2"/>
    <s v="None"/>
    <n v="3.1"/>
    <x v="2"/>
  </r>
  <r>
    <s v="AST1412"/>
    <x v="0"/>
    <x v="4"/>
    <x v="4"/>
    <s v="Machine-412"/>
    <n v="2024"/>
    <s v="2026-04-03"/>
    <x v="2"/>
    <x v="0"/>
    <n v="7.3"/>
    <n v="26449"/>
    <x v="2"/>
    <s v="Low"/>
    <s v="In Progress"/>
    <x v="2"/>
    <s v="Belt"/>
    <n v="5.5"/>
    <x v="0"/>
  </r>
  <r>
    <s v="AST1413"/>
    <x v="2"/>
    <x v="3"/>
    <x v="6"/>
    <s v="Machine-413"/>
    <n v="2016"/>
    <s v="2026-02-20"/>
    <x v="2"/>
    <x v="1"/>
    <n v="1.2"/>
    <n v="36195"/>
    <x v="3"/>
    <s v="High"/>
    <s v="In Progress"/>
    <x v="2"/>
    <s v="None"/>
    <n v="2"/>
    <x v="6"/>
  </r>
  <r>
    <s v="AST1414"/>
    <x v="4"/>
    <x v="0"/>
    <x v="3"/>
    <s v="Machine-414"/>
    <n v="2019"/>
    <s v="2026-06-25"/>
    <x v="0"/>
    <x v="5"/>
    <n v="5.3"/>
    <n v="5563"/>
    <x v="5"/>
    <s v="High"/>
    <s v="In Progress"/>
    <x v="0"/>
    <s v="Belt"/>
    <n v="9.5"/>
    <x v="5"/>
  </r>
  <r>
    <s v="AST1415"/>
    <x v="4"/>
    <x v="3"/>
    <x v="3"/>
    <s v="Machine-415"/>
    <n v="2017"/>
    <s v="2026-02-08"/>
    <x v="0"/>
    <x v="0"/>
    <n v="7.2"/>
    <n v="41637"/>
    <x v="5"/>
    <s v="Medium"/>
    <s v="In Progress"/>
    <x v="0"/>
    <s v="Belt"/>
    <n v="2"/>
    <x v="7"/>
  </r>
  <r>
    <s v="AST1416"/>
    <x v="4"/>
    <x v="3"/>
    <x v="6"/>
    <s v="Machine-416"/>
    <n v="2018"/>
    <s v="2026-06-04"/>
    <x v="0"/>
    <x v="0"/>
    <n v="2.9"/>
    <n v="36978"/>
    <x v="5"/>
    <s v="Medium"/>
    <s v="Completed"/>
    <x v="2"/>
    <s v="None"/>
    <n v="7.2"/>
    <x v="2"/>
  </r>
  <r>
    <s v="AST1417"/>
    <x v="3"/>
    <x v="2"/>
    <x v="3"/>
    <s v="Machine-417"/>
    <n v="2022"/>
    <s v="2026-02-04"/>
    <x v="2"/>
    <x v="3"/>
    <n v="6.1"/>
    <n v="38025"/>
    <x v="2"/>
    <s v="Low"/>
    <s v="Completed"/>
    <x v="2"/>
    <s v="Motor"/>
    <n v="7.4"/>
    <x v="1"/>
  </r>
  <r>
    <s v="AST1418"/>
    <x v="3"/>
    <x v="0"/>
    <x v="5"/>
    <s v="Machine-418"/>
    <n v="2019"/>
    <s v="2026-04-16"/>
    <x v="1"/>
    <x v="0"/>
    <n v="16.8"/>
    <n v="19443"/>
    <x v="4"/>
    <s v="Medium"/>
    <s v="Completed"/>
    <x v="0"/>
    <s v="Motor"/>
    <n v="0.7"/>
    <x v="5"/>
  </r>
  <r>
    <s v="AST1419"/>
    <x v="4"/>
    <x v="1"/>
    <x v="6"/>
    <s v="Machine-419"/>
    <n v="2023"/>
    <s v="2026-06-07"/>
    <x v="1"/>
    <x v="5"/>
    <n v="4.5999999999999996"/>
    <n v="3209"/>
    <x v="3"/>
    <s v="Low"/>
    <s v="Pending"/>
    <x v="2"/>
    <s v="Motor"/>
    <n v="5.3"/>
    <x v="4"/>
  </r>
  <r>
    <s v="AST1420"/>
    <x v="4"/>
    <x v="2"/>
    <x v="2"/>
    <s v="Machine-420"/>
    <n v="2023"/>
    <s v="2026-05-01"/>
    <x v="0"/>
    <x v="4"/>
    <n v="2.9"/>
    <n v="14165"/>
    <x v="4"/>
    <s v="Low"/>
    <s v="In Progress"/>
    <x v="0"/>
    <s v="Sensor"/>
    <n v="9.5"/>
    <x v="4"/>
  </r>
  <r>
    <s v="AST1421"/>
    <x v="1"/>
    <x v="2"/>
    <x v="1"/>
    <s v="Machine-421"/>
    <n v="2017"/>
    <s v="2026-07-10"/>
    <x v="0"/>
    <x v="4"/>
    <n v="15.7"/>
    <n v="33608"/>
    <x v="5"/>
    <s v="High"/>
    <s v="In Progress"/>
    <x v="0"/>
    <s v="Valve"/>
    <n v="4.3"/>
    <x v="7"/>
  </r>
  <r>
    <s v="AST1422"/>
    <x v="3"/>
    <x v="0"/>
    <x v="5"/>
    <s v="Machine-422"/>
    <n v="2014"/>
    <s v="2026-06-05"/>
    <x v="1"/>
    <x v="0"/>
    <n v="10.5"/>
    <n v="36637"/>
    <x v="2"/>
    <s v="Low"/>
    <s v="Pending"/>
    <x v="0"/>
    <s v="Valve"/>
    <n v="4.8"/>
    <x v="9"/>
  </r>
  <r>
    <s v="AST1423"/>
    <x v="2"/>
    <x v="1"/>
    <x v="5"/>
    <s v="Machine-423"/>
    <n v="2014"/>
    <s v="2026-03-04"/>
    <x v="2"/>
    <x v="1"/>
    <n v="10.3"/>
    <n v="35324"/>
    <x v="5"/>
    <s v="Low"/>
    <s v="Completed"/>
    <x v="2"/>
    <s v="Valve"/>
    <n v="4.3"/>
    <x v="9"/>
  </r>
  <r>
    <s v="AST1424"/>
    <x v="4"/>
    <x v="3"/>
    <x v="0"/>
    <s v="Machine-424"/>
    <n v="2018"/>
    <s v="2026-07-18"/>
    <x v="0"/>
    <x v="5"/>
    <n v="16.600000000000001"/>
    <n v="35380"/>
    <x v="4"/>
    <s v="Critical"/>
    <s v="Pending"/>
    <x v="2"/>
    <s v="Bearing"/>
    <n v="7.4"/>
    <x v="2"/>
  </r>
  <r>
    <s v="AST1425"/>
    <x v="2"/>
    <x v="1"/>
    <x v="0"/>
    <s v="Machine-425"/>
    <n v="2015"/>
    <s v="2026-02-16"/>
    <x v="0"/>
    <x v="2"/>
    <n v="8.4"/>
    <n v="13222"/>
    <x v="1"/>
    <s v="Medium"/>
    <s v="In Progress"/>
    <x v="0"/>
    <s v="Sensor"/>
    <n v="3.6"/>
    <x v="10"/>
  </r>
  <r>
    <s v="AST1426"/>
    <x v="1"/>
    <x v="4"/>
    <x v="1"/>
    <s v="Machine-426"/>
    <n v="2024"/>
    <s v="2026-07-02"/>
    <x v="0"/>
    <x v="4"/>
    <n v="11.6"/>
    <n v="7090"/>
    <x v="2"/>
    <s v="Critical"/>
    <s v="Pending"/>
    <x v="1"/>
    <s v="Belt"/>
    <n v="9.5"/>
    <x v="0"/>
  </r>
  <r>
    <s v="AST1427"/>
    <x v="3"/>
    <x v="4"/>
    <x v="2"/>
    <s v="Machine-427"/>
    <n v="2020"/>
    <s v="2026-05-21"/>
    <x v="0"/>
    <x v="2"/>
    <n v="10.4"/>
    <n v="44722"/>
    <x v="4"/>
    <s v="Medium"/>
    <s v="Completed"/>
    <x v="0"/>
    <s v="None"/>
    <n v="1"/>
    <x v="3"/>
  </r>
  <r>
    <s v="AST1428"/>
    <x v="3"/>
    <x v="0"/>
    <x v="3"/>
    <s v="Machine-428"/>
    <n v="2018"/>
    <s v="2026-03-21"/>
    <x v="0"/>
    <x v="3"/>
    <n v="17.3"/>
    <n v="1731"/>
    <x v="2"/>
    <s v="High"/>
    <s v="Completed"/>
    <x v="2"/>
    <s v="Valve"/>
    <n v="8.6"/>
    <x v="2"/>
  </r>
  <r>
    <s v="AST1429"/>
    <x v="0"/>
    <x v="1"/>
    <x v="5"/>
    <s v="Machine-429"/>
    <n v="2022"/>
    <s v="2026-07-26"/>
    <x v="0"/>
    <x v="5"/>
    <n v="12"/>
    <n v="31236"/>
    <x v="1"/>
    <s v="Critical"/>
    <s v="Completed"/>
    <x v="1"/>
    <s v="Belt"/>
    <n v="0.6"/>
    <x v="1"/>
  </r>
  <r>
    <s v="AST1430"/>
    <x v="2"/>
    <x v="1"/>
    <x v="2"/>
    <s v="Machine-430"/>
    <n v="2022"/>
    <s v="2026-03-13"/>
    <x v="1"/>
    <x v="1"/>
    <n v="3.7"/>
    <n v="5108"/>
    <x v="5"/>
    <s v="High"/>
    <s v="Completed"/>
    <x v="0"/>
    <s v="Bearing"/>
    <n v="6.8"/>
    <x v="1"/>
  </r>
  <r>
    <s v="AST1431"/>
    <x v="4"/>
    <x v="4"/>
    <x v="1"/>
    <s v="Machine-431"/>
    <n v="2023"/>
    <s v="2026-03-18"/>
    <x v="0"/>
    <x v="3"/>
    <n v="3.3"/>
    <n v="20137"/>
    <x v="2"/>
    <s v="Medium"/>
    <s v="In Progress"/>
    <x v="1"/>
    <s v="Belt"/>
    <n v="3.9"/>
    <x v="4"/>
  </r>
  <r>
    <s v="AST1432"/>
    <x v="4"/>
    <x v="0"/>
    <x v="4"/>
    <s v="Machine-432"/>
    <n v="2014"/>
    <s v="2026-01-24"/>
    <x v="2"/>
    <x v="1"/>
    <n v="13.8"/>
    <n v="37575"/>
    <x v="0"/>
    <s v="High"/>
    <s v="In Progress"/>
    <x v="0"/>
    <s v="Bearing"/>
    <n v="7.1"/>
    <x v="9"/>
  </r>
  <r>
    <s v="AST1433"/>
    <x v="2"/>
    <x v="3"/>
    <x v="6"/>
    <s v="Machine-433"/>
    <n v="2018"/>
    <s v="2026-03-26"/>
    <x v="0"/>
    <x v="3"/>
    <n v="11.2"/>
    <n v="8663"/>
    <x v="2"/>
    <s v="Low"/>
    <s v="In Progress"/>
    <x v="1"/>
    <s v="None"/>
    <n v="6.2"/>
    <x v="2"/>
  </r>
  <r>
    <s v="AST1434"/>
    <x v="3"/>
    <x v="1"/>
    <x v="2"/>
    <s v="Machine-434"/>
    <n v="2025"/>
    <s v="2026-03-15"/>
    <x v="0"/>
    <x v="5"/>
    <n v="10.6"/>
    <n v="42344"/>
    <x v="3"/>
    <s v="Medium"/>
    <s v="Pending"/>
    <x v="1"/>
    <s v="Valve"/>
    <n v="5.4"/>
    <x v="11"/>
  </r>
  <r>
    <s v="AST1435"/>
    <x v="3"/>
    <x v="2"/>
    <x v="6"/>
    <s v="Machine-435"/>
    <n v="2024"/>
    <s v="2026-05-08"/>
    <x v="0"/>
    <x v="2"/>
    <n v="17.600000000000001"/>
    <n v="1603"/>
    <x v="0"/>
    <s v="Low"/>
    <s v="In Progress"/>
    <x v="1"/>
    <s v="Bearing"/>
    <n v="7.5"/>
    <x v="0"/>
  </r>
  <r>
    <s v="AST1436"/>
    <x v="2"/>
    <x v="3"/>
    <x v="5"/>
    <s v="Machine-436"/>
    <n v="2017"/>
    <s v="2026-07-24"/>
    <x v="0"/>
    <x v="2"/>
    <n v="10.3"/>
    <n v="43279"/>
    <x v="4"/>
    <s v="Low"/>
    <s v="Pending"/>
    <x v="0"/>
    <s v="None"/>
    <n v="3.2"/>
    <x v="7"/>
  </r>
  <r>
    <s v="AST1437"/>
    <x v="4"/>
    <x v="1"/>
    <x v="6"/>
    <s v="Machine-437"/>
    <n v="2015"/>
    <s v="2026-03-20"/>
    <x v="0"/>
    <x v="1"/>
    <n v="2.5"/>
    <n v="23342"/>
    <x v="3"/>
    <s v="Critical"/>
    <s v="Pending"/>
    <x v="1"/>
    <s v="Belt"/>
    <n v="9.6"/>
    <x v="10"/>
  </r>
  <r>
    <s v="AST1438"/>
    <x v="4"/>
    <x v="0"/>
    <x v="3"/>
    <s v="Machine-438"/>
    <n v="2016"/>
    <s v="2026-02-19"/>
    <x v="0"/>
    <x v="4"/>
    <n v="14.5"/>
    <n v="43813"/>
    <x v="4"/>
    <s v="Critical"/>
    <s v="Completed"/>
    <x v="1"/>
    <s v="Valve"/>
    <n v="9"/>
    <x v="6"/>
  </r>
  <r>
    <s v="AST1439"/>
    <x v="3"/>
    <x v="3"/>
    <x v="3"/>
    <s v="Machine-439"/>
    <n v="2022"/>
    <s v="2026-03-27"/>
    <x v="0"/>
    <x v="5"/>
    <n v="5.7"/>
    <n v="22176"/>
    <x v="2"/>
    <s v="Low"/>
    <s v="Completed"/>
    <x v="1"/>
    <s v="None"/>
    <n v="3.7"/>
    <x v="1"/>
  </r>
  <r>
    <s v="AST1440"/>
    <x v="1"/>
    <x v="0"/>
    <x v="2"/>
    <s v="Machine-440"/>
    <n v="2019"/>
    <s v="2026-01-17"/>
    <x v="0"/>
    <x v="4"/>
    <n v="11.5"/>
    <n v="12376"/>
    <x v="2"/>
    <s v="Critical"/>
    <s v="Completed"/>
    <x v="1"/>
    <s v="Bearing"/>
    <n v="8.6999999999999993"/>
    <x v="5"/>
  </r>
  <r>
    <s v="AST1441"/>
    <x v="4"/>
    <x v="4"/>
    <x v="4"/>
    <s v="Machine-441"/>
    <n v="2018"/>
    <s v="2026-06-30"/>
    <x v="0"/>
    <x v="4"/>
    <n v="15.8"/>
    <n v="25852"/>
    <x v="1"/>
    <s v="High"/>
    <s v="Completed"/>
    <x v="1"/>
    <s v="Sensor"/>
    <n v="2.2000000000000002"/>
    <x v="2"/>
  </r>
  <r>
    <s v="AST1442"/>
    <x v="0"/>
    <x v="2"/>
    <x v="1"/>
    <s v="Machine-442"/>
    <n v="2019"/>
    <s v="2026-07-20"/>
    <x v="0"/>
    <x v="1"/>
    <n v="14.5"/>
    <n v="34271"/>
    <x v="4"/>
    <s v="Medium"/>
    <s v="In Progress"/>
    <x v="2"/>
    <s v="None"/>
    <n v="8.8000000000000007"/>
    <x v="5"/>
  </r>
  <r>
    <s v="AST1443"/>
    <x v="4"/>
    <x v="2"/>
    <x v="2"/>
    <s v="Machine-443"/>
    <n v="2018"/>
    <s v="2026-07-18"/>
    <x v="2"/>
    <x v="5"/>
    <n v="12.3"/>
    <n v="10197"/>
    <x v="4"/>
    <s v="Low"/>
    <s v="In Progress"/>
    <x v="2"/>
    <s v="None"/>
    <n v="8.6999999999999993"/>
    <x v="2"/>
  </r>
  <r>
    <s v="AST1444"/>
    <x v="4"/>
    <x v="4"/>
    <x v="3"/>
    <s v="Machine-444"/>
    <n v="2015"/>
    <s v="2026-01-02"/>
    <x v="1"/>
    <x v="1"/>
    <n v="6.3"/>
    <n v="4523"/>
    <x v="0"/>
    <s v="High"/>
    <s v="Completed"/>
    <x v="1"/>
    <s v="Sensor"/>
    <n v="6.6"/>
    <x v="10"/>
  </r>
  <r>
    <s v="AST1445"/>
    <x v="1"/>
    <x v="2"/>
    <x v="4"/>
    <s v="Machine-445"/>
    <n v="2017"/>
    <s v="2026-03-24"/>
    <x v="0"/>
    <x v="2"/>
    <n v="14"/>
    <n v="9210"/>
    <x v="3"/>
    <s v="Medium"/>
    <s v="Completed"/>
    <x v="2"/>
    <s v="Bearing"/>
    <n v="0.6"/>
    <x v="7"/>
  </r>
  <r>
    <s v="AST1446"/>
    <x v="2"/>
    <x v="4"/>
    <x v="0"/>
    <s v="Machine-446"/>
    <n v="2023"/>
    <s v="2026-05-24"/>
    <x v="1"/>
    <x v="5"/>
    <n v="6.1"/>
    <n v="10777"/>
    <x v="5"/>
    <s v="High"/>
    <s v="Pending"/>
    <x v="0"/>
    <s v="Motor"/>
    <n v="1.2"/>
    <x v="4"/>
  </r>
  <r>
    <s v="AST1447"/>
    <x v="2"/>
    <x v="3"/>
    <x v="1"/>
    <s v="Machine-447"/>
    <n v="2023"/>
    <s v="2026-03-28"/>
    <x v="0"/>
    <x v="4"/>
    <n v="16.3"/>
    <n v="4806"/>
    <x v="0"/>
    <s v="Critical"/>
    <s v="Completed"/>
    <x v="0"/>
    <s v="Valve"/>
    <n v="4.2"/>
    <x v="4"/>
  </r>
  <r>
    <s v="AST1448"/>
    <x v="2"/>
    <x v="3"/>
    <x v="6"/>
    <s v="Machine-448"/>
    <n v="2025"/>
    <s v="2026-06-02"/>
    <x v="0"/>
    <x v="2"/>
    <n v="14.8"/>
    <n v="36462"/>
    <x v="0"/>
    <s v="Critical"/>
    <s v="Pending"/>
    <x v="0"/>
    <s v="Bearing"/>
    <n v="8.1999999999999993"/>
    <x v="11"/>
  </r>
  <r>
    <s v="AST1449"/>
    <x v="0"/>
    <x v="3"/>
    <x v="4"/>
    <s v="Machine-449"/>
    <n v="2025"/>
    <s v="2026-04-30"/>
    <x v="1"/>
    <x v="0"/>
    <n v="13.9"/>
    <n v="32337"/>
    <x v="4"/>
    <s v="Medium"/>
    <s v="Completed"/>
    <x v="1"/>
    <s v="Sensor"/>
    <n v="9.1999999999999993"/>
    <x v="11"/>
  </r>
  <r>
    <s v="AST1450"/>
    <x v="4"/>
    <x v="0"/>
    <x v="5"/>
    <s v="Machine-450"/>
    <n v="2020"/>
    <s v="2026-02-16"/>
    <x v="0"/>
    <x v="1"/>
    <n v="8.8000000000000007"/>
    <n v="24532"/>
    <x v="1"/>
    <s v="Critical"/>
    <s v="Completed"/>
    <x v="2"/>
    <s v="Sensor"/>
    <n v="6.2"/>
    <x v="3"/>
  </r>
  <r>
    <s v="AST1451"/>
    <x v="0"/>
    <x v="3"/>
    <x v="2"/>
    <s v="Machine-451"/>
    <n v="2016"/>
    <s v="2026-05-11"/>
    <x v="1"/>
    <x v="1"/>
    <n v="6.2"/>
    <n v="44062"/>
    <x v="0"/>
    <s v="High"/>
    <s v="Pending"/>
    <x v="2"/>
    <s v="Valve"/>
    <n v="6.1"/>
    <x v="6"/>
  </r>
  <r>
    <s v="AST1452"/>
    <x v="1"/>
    <x v="1"/>
    <x v="0"/>
    <s v="Machine-452"/>
    <n v="2017"/>
    <s v="2026-06-08"/>
    <x v="2"/>
    <x v="4"/>
    <n v="1.7"/>
    <n v="15147"/>
    <x v="5"/>
    <s v="Critical"/>
    <s v="In Progress"/>
    <x v="1"/>
    <s v="Sensor"/>
    <n v="5.7"/>
    <x v="7"/>
  </r>
  <r>
    <s v="AST1453"/>
    <x v="0"/>
    <x v="1"/>
    <x v="2"/>
    <s v="Machine-453"/>
    <n v="2017"/>
    <s v="2026-02-14"/>
    <x v="0"/>
    <x v="5"/>
    <n v="10.9"/>
    <n v="22823"/>
    <x v="2"/>
    <s v="Low"/>
    <s v="In Progress"/>
    <x v="0"/>
    <s v="Sensor"/>
    <n v="9.6"/>
    <x v="7"/>
  </r>
  <r>
    <s v="AST1454"/>
    <x v="0"/>
    <x v="1"/>
    <x v="2"/>
    <s v="Machine-454"/>
    <n v="2015"/>
    <s v="2026-06-03"/>
    <x v="1"/>
    <x v="2"/>
    <n v="9.1999999999999993"/>
    <n v="44764"/>
    <x v="0"/>
    <s v="Low"/>
    <s v="Completed"/>
    <x v="0"/>
    <s v="Belt"/>
    <n v="9.1"/>
    <x v="10"/>
  </r>
  <r>
    <s v="AST1455"/>
    <x v="0"/>
    <x v="2"/>
    <x v="3"/>
    <s v="Machine-455"/>
    <n v="2024"/>
    <s v="2026-07-27"/>
    <x v="0"/>
    <x v="5"/>
    <n v="5.6"/>
    <n v="41842"/>
    <x v="2"/>
    <s v="Critical"/>
    <s v="Completed"/>
    <x v="0"/>
    <s v="None"/>
    <n v="8.8000000000000007"/>
    <x v="0"/>
  </r>
  <r>
    <s v="AST1456"/>
    <x v="4"/>
    <x v="3"/>
    <x v="3"/>
    <s v="Machine-456"/>
    <n v="2018"/>
    <s v="2026-05-26"/>
    <x v="2"/>
    <x v="2"/>
    <n v="17.8"/>
    <n v="39689"/>
    <x v="0"/>
    <s v="Critical"/>
    <s v="Completed"/>
    <x v="2"/>
    <s v="Bearing"/>
    <n v="4"/>
    <x v="2"/>
  </r>
  <r>
    <s v="AST1457"/>
    <x v="0"/>
    <x v="1"/>
    <x v="2"/>
    <s v="Machine-457"/>
    <n v="2022"/>
    <s v="2026-01-14"/>
    <x v="2"/>
    <x v="1"/>
    <n v="15.6"/>
    <n v="3543"/>
    <x v="4"/>
    <s v="Critical"/>
    <s v="Pending"/>
    <x v="1"/>
    <s v="Valve"/>
    <n v="6.4"/>
    <x v="1"/>
  </r>
  <r>
    <s v="AST1458"/>
    <x v="3"/>
    <x v="3"/>
    <x v="5"/>
    <s v="Machine-458"/>
    <n v="2025"/>
    <s v="2026-04-08"/>
    <x v="1"/>
    <x v="0"/>
    <n v="3.5"/>
    <n v="10614"/>
    <x v="4"/>
    <s v="Critical"/>
    <s v="In Progress"/>
    <x v="2"/>
    <s v="Motor"/>
    <n v="3.2"/>
    <x v="11"/>
  </r>
  <r>
    <s v="AST1459"/>
    <x v="1"/>
    <x v="4"/>
    <x v="1"/>
    <s v="Machine-459"/>
    <n v="2024"/>
    <s v="2026-02-02"/>
    <x v="1"/>
    <x v="3"/>
    <n v="13.1"/>
    <n v="33396"/>
    <x v="5"/>
    <s v="Critical"/>
    <s v="Completed"/>
    <x v="0"/>
    <s v="Motor"/>
    <n v="6.6"/>
    <x v="0"/>
  </r>
  <r>
    <s v="AST1460"/>
    <x v="2"/>
    <x v="3"/>
    <x v="6"/>
    <s v="Machine-460"/>
    <n v="2020"/>
    <s v="2026-04-27"/>
    <x v="0"/>
    <x v="5"/>
    <n v="7.9"/>
    <n v="30994"/>
    <x v="1"/>
    <s v="High"/>
    <s v="Completed"/>
    <x v="0"/>
    <s v="Valve"/>
    <n v="6.2"/>
    <x v="3"/>
  </r>
  <r>
    <s v="AST1461"/>
    <x v="1"/>
    <x v="1"/>
    <x v="4"/>
    <s v="Machine-461"/>
    <n v="2023"/>
    <s v="2026-05-08"/>
    <x v="0"/>
    <x v="5"/>
    <n v="10.6"/>
    <n v="3692"/>
    <x v="0"/>
    <s v="Critical"/>
    <s v="Pending"/>
    <x v="2"/>
    <s v="Bearing"/>
    <n v="6"/>
    <x v="4"/>
  </r>
  <r>
    <s v="AST1462"/>
    <x v="1"/>
    <x v="1"/>
    <x v="2"/>
    <s v="Machine-462"/>
    <n v="2025"/>
    <s v="2026-01-21"/>
    <x v="2"/>
    <x v="2"/>
    <n v="8.6"/>
    <n v="6627"/>
    <x v="2"/>
    <s v="Low"/>
    <s v="Completed"/>
    <x v="2"/>
    <s v="None"/>
    <n v="7.5"/>
    <x v="11"/>
  </r>
  <r>
    <s v="AST1463"/>
    <x v="2"/>
    <x v="1"/>
    <x v="4"/>
    <s v="Machine-463"/>
    <n v="2024"/>
    <s v="2026-01-20"/>
    <x v="1"/>
    <x v="2"/>
    <n v="9.9"/>
    <n v="2206"/>
    <x v="1"/>
    <s v="Critical"/>
    <s v="Pending"/>
    <x v="2"/>
    <s v="Belt"/>
    <n v="7.5"/>
    <x v="0"/>
  </r>
  <r>
    <s v="AST1464"/>
    <x v="4"/>
    <x v="0"/>
    <x v="0"/>
    <s v="Machine-464"/>
    <n v="2020"/>
    <s v="2026-04-01"/>
    <x v="0"/>
    <x v="5"/>
    <n v="13.6"/>
    <n v="38443"/>
    <x v="3"/>
    <s v="Low"/>
    <s v="Pending"/>
    <x v="2"/>
    <s v="Belt"/>
    <n v="2.1"/>
    <x v="3"/>
  </r>
  <r>
    <s v="AST1465"/>
    <x v="4"/>
    <x v="1"/>
    <x v="1"/>
    <s v="Machine-465"/>
    <n v="2014"/>
    <s v="2026-06-18"/>
    <x v="0"/>
    <x v="1"/>
    <n v="2.7"/>
    <n v="6537"/>
    <x v="3"/>
    <s v="High"/>
    <s v="Completed"/>
    <x v="1"/>
    <s v="Sensor"/>
    <n v="3.1"/>
    <x v="9"/>
  </r>
  <r>
    <s v="AST1466"/>
    <x v="0"/>
    <x v="1"/>
    <x v="0"/>
    <s v="Machine-466"/>
    <n v="2018"/>
    <s v="2026-01-04"/>
    <x v="2"/>
    <x v="0"/>
    <n v="3.1"/>
    <n v="30771"/>
    <x v="3"/>
    <s v="Medium"/>
    <s v="In Progress"/>
    <x v="1"/>
    <s v="Motor"/>
    <n v="5.0999999999999996"/>
    <x v="2"/>
  </r>
  <r>
    <s v="AST1467"/>
    <x v="4"/>
    <x v="4"/>
    <x v="0"/>
    <s v="Machine-467"/>
    <n v="2022"/>
    <s v="2026-01-09"/>
    <x v="1"/>
    <x v="3"/>
    <n v="15.2"/>
    <n v="28562"/>
    <x v="1"/>
    <s v="Medium"/>
    <s v="Pending"/>
    <x v="2"/>
    <s v="None"/>
    <n v="6.6"/>
    <x v="1"/>
  </r>
  <r>
    <s v="AST1468"/>
    <x v="4"/>
    <x v="4"/>
    <x v="3"/>
    <s v="Machine-468"/>
    <n v="2017"/>
    <s v="2026-05-28"/>
    <x v="0"/>
    <x v="1"/>
    <n v="1.4"/>
    <n v="31909"/>
    <x v="1"/>
    <s v="Critical"/>
    <s v="In Progress"/>
    <x v="2"/>
    <s v="None"/>
    <n v="9.5"/>
    <x v="7"/>
  </r>
  <r>
    <s v="AST1469"/>
    <x v="3"/>
    <x v="3"/>
    <x v="5"/>
    <s v="Machine-469"/>
    <n v="2022"/>
    <s v="2026-03-01"/>
    <x v="0"/>
    <x v="5"/>
    <n v="15.7"/>
    <n v="2277"/>
    <x v="3"/>
    <s v="Critical"/>
    <s v="In Progress"/>
    <x v="1"/>
    <s v="Sensor"/>
    <n v="9.6"/>
    <x v="1"/>
  </r>
  <r>
    <s v="AST1470"/>
    <x v="0"/>
    <x v="1"/>
    <x v="3"/>
    <s v="Machine-470"/>
    <n v="2024"/>
    <s v="2026-01-11"/>
    <x v="0"/>
    <x v="4"/>
    <n v="11.2"/>
    <n v="44233"/>
    <x v="3"/>
    <s v="High"/>
    <s v="In Progress"/>
    <x v="2"/>
    <s v="Bearing"/>
    <n v="2.9"/>
    <x v="0"/>
  </r>
  <r>
    <s v="AST1471"/>
    <x v="3"/>
    <x v="2"/>
    <x v="3"/>
    <s v="Machine-471"/>
    <n v="2023"/>
    <s v="2026-04-11"/>
    <x v="1"/>
    <x v="3"/>
    <n v="9.6"/>
    <n v="13291"/>
    <x v="3"/>
    <s v="Low"/>
    <s v="Pending"/>
    <x v="0"/>
    <s v="Bearing"/>
    <n v="0.6"/>
    <x v="4"/>
  </r>
  <r>
    <s v="AST1472"/>
    <x v="0"/>
    <x v="3"/>
    <x v="4"/>
    <s v="Machine-472"/>
    <n v="2015"/>
    <s v="2026-05-15"/>
    <x v="0"/>
    <x v="2"/>
    <n v="4.9000000000000004"/>
    <n v="3730"/>
    <x v="0"/>
    <s v="Low"/>
    <s v="Completed"/>
    <x v="1"/>
    <s v="None"/>
    <n v="9"/>
    <x v="10"/>
  </r>
  <r>
    <s v="AST1473"/>
    <x v="0"/>
    <x v="4"/>
    <x v="1"/>
    <s v="Machine-473"/>
    <n v="2017"/>
    <s v="2026-06-03"/>
    <x v="2"/>
    <x v="3"/>
    <n v="7.1"/>
    <n v="43961"/>
    <x v="2"/>
    <s v="Medium"/>
    <s v="Completed"/>
    <x v="1"/>
    <s v="Motor"/>
    <n v="2.9"/>
    <x v="7"/>
  </r>
  <r>
    <s v="AST1474"/>
    <x v="0"/>
    <x v="3"/>
    <x v="4"/>
    <s v="Machine-474"/>
    <n v="2021"/>
    <s v="2026-06-19"/>
    <x v="1"/>
    <x v="0"/>
    <n v="16.3"/>
    <n v="22694"/>
    <x v="3"/>
    <s v="Medium"/>
    <s v="Completed"/>
    <x v="2"/>
    <s v="Bearing"/>
    <n v="4.0999999999999996"/>
    <x v="8"/>
  </r>
  <r>
    <s v="AST1475"/>
    <x v="4"/>
    <x v="0"/>
    <x v="0"/>
    <s v="Machine-475"/>
    <n v="2019"/>
    <s v="2026-01-16"/>
    <x v="0"/>
    <x v="4"/>
    <n v="17.600000000000001"/>
    <n v="14651"/>
    <x v="2"/>
    <s v="Critical"/>
    <s v="Completed"/>
    <x v="1"/>
    <s v="Valve"/>
    <n v="1.5"/>
    <x v="5"/>
  </r>
  <r>
    <s v="AST1476"/>
    <x v="3"/>
    <x v="2"/>
    <x v="6"/>
    <s v="Machine-476"/>
    <n v="2022"/>
    <s v="2026-07-16"/>
    <x v="1"/>
    <x v="4"/>
    <n v="13"/>
    <n v="8269"/>
    <x v="0"/>
    <s v="Low"/>
    <s v="Completed"/>
    <x v="1"/>
    <s v="None"/>
    <n v="2.9"/>
    <x v="1"/>
  </r>
  <r>
    <s v="AST1477"/>
    <x v="3"/>
    <x v="2"/>
    <x v="3"/>
    <s v="Machine-477"/>
    <n v="2021"/>
    <s v="2026-01-05"/>
    <x v="1"/>
    <x v="1"/>
    <n v="12.1"/>
    <n v="18961"/>
    <x v="4"/>
    <s v="High"/>
    <s v="In Progress"/>
    <x v="1"/>
    <s v="Bearing"/>
    <n v="5.4"/>
    <x v="8"/>
  </r>
  <r>
    <s v="AST1478"/>
    <x v="3"/>
    <x v="3"/>
    <x v="2"/>
    <s v="Machine-478"/>
    <n v="2021"/>
    <s v="2026-05-03"/>
    <x v="1"/>
    <x v="1"/>
    <n v="10"/>
    <n v="1716"/>
    <x v="1"/>
    <s v="Critical"/>
    <s v="Completed"/>
    <x v="1"/>
    <s v="Belt"/>
    <n v="9.4"/>
    <x v="8"/>
  </r>
  <r>
    <s v="AST1479"/>
    <x v="4"/>
    <x v="3"/>
    <x v="1"/>
    <s v="Machine-479"/>
    <n v="2019"/>
    <s v="2026-03-27"/>
    <x v="1"/>
    <x v="0"/>
    <n v="2.1"/>
    <n v="36537"/>
    <x v="3"/>
    <s v="Low"/>
    <s v="In Progress"/>
    <x v="2"/>
    <s v="None"/>
    <n v="2.4"/>
    <x v="5"/>
  </r>
  <r>
    <s v="AST1480"/>
    <x v="3"/>
    <x v="2"/>
    <x v="4"/>
    <s v="Machine-480"/>
    <n v="2022"/>
    <s v="2026-01-11"/>
    <x v="1"/>
    <x v="1"/>
    <n v="11.5"/>
    <n v="25044"/>
    <x v="1"/>
    <s v="Low"/>
    <s v="Pending"/>
    <x v="2"/>
    <s v="None"/>
    <n v="2.2999999999999998"/>
    <x v="1"/>
  </r>
  <r>
    <s v="AST1481"/>
    <x v="0"/>
    <x v="1"/>
    <x v="0"/>
    <s v="Machine-481"/>
    <n v="2014"/>
    <s v="2026-02-19"/>
    <x v="0"/>
    <x v="1"/>
    <n v="14.4"/>
    <n v="43666"/>
    <x v="3"/>
    <s v="Critical"/>
    <s v="Pending"/>
    <x v="2"/>
    <s v="Bearing"/>
    <n v="0.9"/>
    <x v="9"/>
  </r>
  <r>
    <s v="AST1482"/>
    <x v="0"/>
    <x v="3"/>
    <x v="1"/>
    <s v="Machine-482"/>
    <n v="2014"/>
    <s v="2026-03-28"/>
    <x v="0"/>
    <x v="0"/>
    <n v="12.2"/>
    <n v="31539"/>
    <x v="5"/>
    <s v="Medium"/>
    <s v="Pending"/>
    <x v="1"/>
    <s v="Motor"/>
    <n v="9.3000000000000007"/>
    <x v="9"/>
  </r>
  <r>
    <s v="AST1483"/>
    <x v="1"/>
    <x v="3"/>
    <x v="3"/>
    <s v="Machine-483"/>
    <n v="2014"/>
    <s v="2026-07-08"/>
    <x v="0"/>
    <x v="5"/>
    <n v="1.3"/>
    <n v="44018"/>
    <x v="4"/>
    <s v="Low"/>
    <s v="Completed"/>
    <x v="1"/>
    <s v="Bearing"/>
    <n v="9.1"/>
    <x v="9"/>
  </r>
  <r>
    <s v="AST1484"/>
    <x v="2"/>
    <x v="2"/>
    <x v="2"/>
    <s v="Machine-484"/>
    <n v="2015"/>
    <s v="2026-04-27"/>
    <x v="1"/>
    <x v="1"/>
    <n v="2.5"/>
    <n v="40492"/>
    <x v="2"/>
    <s v="Medium"/>
    <s v="Completed"/>
    <x v="0"/>
    <s v="Valve"/>
    <n v="3.7"/>
    <x v="10"/>
  </r>
  <r>
    <s v="AST1485"/>
    <x v="3"/>
    <x v="0"/>
    <x v="1"/>
    <s v="Machine-485"/>
    <n v="2025"/>
    <s v="2026-06-23"/>
    <x v="2"/>
    <x v="5"/>
    <n v="10.1"/>
    <n v="22575"/>
    <x v="4"/>
    <s v="Low"/>
    <s v="Pending"/>
    <x v="0"/>
    <s v="Sensor"/>
    <n v="1.1000000000000001"/>
    <x v="11"/>
  </r>
  <r>
    <s v="AST1486"/>
    <x v="3"/>
    <x v="2"/>
    <x v="3"/>
    <s v="Machine-486"/>
    <n v="2018"/>
    <s v="2026-02-06"/>
    <x v="0"/>
    <x v="3"/>
    <n v="8.1999999999999993"/>
    <n v="39641"/>
    <x v="0"/>
    <s v="Medium"/>
    <s v="Completed"/>
    <x v="1"/>
    <s v="Belt"/>
    <n v="4.0999999999999996"/>
    <x v="2"/>
  </r>
  <r>
    <s v="AST1487"/>
    <x v="3"/>
    <x v="4"/>
    <x v="1"/>
    <s v="Machine-487"/>
    <n v="2016"/>
    <s v="2026-01-05"/>
    <x v="0"/>
    <x v="1"/>
    <n v="12.9"/>
    <n v="40410"/>
    <x v="3"/>
    <s v="Critical"/>
    <s v="Pending"/>
    <x v="2"/>
    <s v="None"/>
    <n v="1.7"/>
    <x v="6"/>
  </r>
  <r>
    <s v="AST1488"/>
    <x v="4"/>
    <x v="1"/>
    <x v="5"/>
    <s v="Machine-488"/>
    <n v="2016"/>
    <s v="2026-06-13"/>
    <x v="0"/>
    <x v="3"/>
    <n v="11.2"/>
    <n v="3965"/>
    <x v="2"/>
    <s v="Medium"/>
    <s v="Pending"/>
    <x v="2"/>
    <s v="Belt"/>
    <n v="9.5"/>
    <x v="6"/>
  </r>
  <r>
    <s v="AST1489"/>
    <x v="4"/>
    <x v="0"/>
    <x v="5"/>
    <s v="Machine-489"/>
    <n v="2024"/>
    <s v="2026-07-20"/>
    <x v="0"/>
    <x v="3"/>
    <n v="3.9"/>
    <n v="36247"/>
    <x v="0"/>
    <s v="High"/>
    <s v="Pending"/>
    <x v="1"/>
    <s v="Motor"/>
    <n v="4.9000000000000004"/>
    <x v="0"/>
  </r>
  <r>
    <s v="AST1490"/>
    <x v="1"/>
    <x v="0"/>
    <x v="1"/>
    <s v="Machine-490"/>
    <n v="2024"/>
    <s v="2026-06-18"/>
    <x v="0"/>
    <x v="3"/>
    <n v="12.5"/>
    <n v="32591"/>
    <x v="1"/>
    <s v="Medium"/>
    <s v="Completed"/>
    <x v="1"/>
    <s v="Bearing"/>
    <n v="1"/>
    <x v="0"/>
  </r>
  <r>
    <s v="AST1491"/>
    <x v="1"/>
    <x v="3"/>
    <x v="4"/>
    <s v="Machine-491"/>
    <n v="2019"/>
    <s v="2026-03-14"/>
    <x v="0"/>
    <x v="4"/>
    <n v="1.3"/>
    <n v="4937"/>
    <x v="2"/>
    <s v="Medium"/>
    <s v="Completed"/>
    <x v="0"/>
    <s v="Valve"/>
    <n v="5.4"/>
    <x v="5"/>
  </r>
  <r>
    <s v="AST1492"/>
    <x v="3"/>
    <x v="1"/>
    <x v="6"/>
    <s v="Machine-492"/>
    <n v="2015"/>
    <s v="2026-03-02"/>
    <x v="0"/>
    <x v="3"/>
    <n v="13.6"/>
    <n v="22844"/>
    <x v="4"/>
    <s v="Low"/>
    <s v="In Progress"/>
    <x v="0"/>
    <s v="Bearing"/>
    <n v="2.8"/>
    <x v="10"/>
  </r>
  <r>
    <s v="AST1493"/>
    <x v="3"/>
    <x v="2"/>
    <x v="1"/>
    <s v="Machine-493"/>
    <n v="2020"/>
    <s v="2026-02-21"/>
    <x v="0"/>
    <x v="4"/>
    <n v="1.5"/>
    <n v="30064"/>
    <x v="4"/>
    <s v="Medium"/>
    <s v="Pending"/>
    <x v="2"/>
    <s v="Motor"/>
    <n v="4.2"/>
    <x v="3"/>
  </r>
  <r>
    <s v="AST1494"/>
    <x v="1"/>
    <x v="0"/>
    <x v="4"/>
    <s v="Machine-494"/>
    <n v="2016"/>
    <s v="2026-04-28"/>
    <x v="0"/>
    <x v="3"/>
    <n v="1.1000000000000001"/>
    <n v="38768"/>
    <x v="0"/>
    <s v="High"/>
    <s v="Completed"/>
    <x v="0"/>
    <s v="Valve"/>
    <n v="4.9000000000000004"/>
    <x v="6"/>
  </r>
  <r>
    <s v="AST1495"/>
    <x v="4"/>
    <x v="2"/>
    <x v="4"/>
    <s v="Machine-495"/>
    <n v="2016"/>
    <s v="2026-07-14"/>
    <x v="1"/>
    <x v="0"/>
    <n v="17.2"/>
    <n v="12636"/>
    <x v="2"/>
    <s v="Medium"/>
    <s v="Completed"/>
    <x v="2"/>
    <s v="Belt"/>
    <n v="5.0999999999999996"/>
    <x v="6"/>
  </r>
  <r>
    <s v="AST1496"/>
    <x v="3"/>
    <x v="3"/>
    <x v="4"/>
    <s v="Machine-496"/>
    <n v="2017"/>
    <s v="2026-06-01"/>
    <x v="0"/>
    <x v="4"/>
    <n v="13.4"/>
    <n v="17664"/>
    <x v="4"/>
    <s v="High"/>
    <s v="In Progress"/>
    <x v="1"/>
    <s v="Motor"/>
    <n v="9"/>
    <x v="7"/>
  </r>
  <r>
    <s v="AST1497"/>
    <x v="2"/>
    <x v="4"/>
    <x v="5"/>
    <s v="Machine-497"/>
    <n v="2023"/>
    <s v="2026-02-08"/>
    <x v="2"/>
    <x v="1"/>
    <n v="17.8"/>
    <n v="34544"/>
    <x v="0"/>
    <s v="Critical"/>
    <s v="Pending"/>
    <x v="2"/>
    <s v="Valve"/>
    <n v="8.1999999999999993"/>
    <x v="4"/>
  </r>
  <r>
    <s v="AST1498"/>
    <x v="0"/>
    <x v="3"/>
    <x v="5"/>
    <s v="Machine-498"/>
    <n v="2025"/>
    <s v="2026-07-30"/>
    <x v="0"/>
    <x v="5"/>
    <n v="13.7"/>
    <n v="28148"/>
    <x v="4"/>
    <s v="Medium"/>
    <s v="In Progress"/>
    <x v="2"/>
    <s v="Motor"/>
    <n v="6.7"/>
    <x v="11"/>
  </r>
  <r>
    <s v="AST1499"/>
    <x v="3"/>
    <x v="0"/>
    <x v="0"/>
    <s v="Machine-499"/>
    <n v="2015"/>
    <s v="2026-01-05"/>
    <x v="1"/>
    <x v="5"/>
    <n v="13.6"/>
    <n v="3099"/>
    <x v="1"/>
    <s v="Critical"/>
    <s v="Completed"/>
    <x v="1"/>
    <s v="Valve"/>
    <n v="2.2999999999999998"/>
    <x v="10"/>
  </r>
  <r>
    <s v="AST1500"/>
    <x v="3"/>
    <x v="4"/>
    <x v="2"/>
    <s v="Machine-500"/>
    <n v="2019"/>
    <s v="2026-06-10"/>
    <x v="1"/>
    <x v="4"/>
    <n v="16.100000000000001"/>
    <n v="23317"/>
    <x v="2"/>
    <s v="Low"/>
    <s v="In Progress"/>
    <x v="2"/>
    <s v="Sensor"/>
    <n v="7.1"/>
    <x v="5"/>
  </r>
  <r>
    <s v="AST1501"/>
    <x v="2"/>
    <x v="2"/>
    <x v="2"/>
    <s v="Machine-501"/>
    <n v="2023"/>
    <s v="2026-05-19"/>
    <x v="1"/>
    <x v="5"/>
    <n v="15.9"/>
    <n v="5092"/>
    <x v="2"/>
    <s v="High"/>
    <s v="Completed"/>
    <x v="0"/>
    <s v="Valve"/>
    <n v="4"/>
    <x v="4"/>
  </r>
  <r>
    <s v="AST1502"/>
    <x v="4"/>
    <x v="0"/>
    <x v="0"/>
    <s v="Machine-502"/>
    <n v="2023"/>
    <s v="2026-01-11"/>
    <x v="1"/>
    <x v="0"/>
    <n v="1.7"/>
    <n v="14916"/>
    <x v="4"/>
    <s v="High"/>
    <s v="Completed"/>
    <x v="1"/>
    <s v="Bearing"/>
    <n v="6.7"/>
    <x v="4"/>
  </r>
  <r>
    <s v="AST1503"/>
    <x v="2"/>
    <x v="2"/>
    <x v="2"/>
    <s v="Machine-503"/>
    <n v="2025"/>
    <s v="2026-07-12"/>
    <x v="1"/>
    <x v="3"/>
    <n v="6.1"/>
    <n v="19021"/>
    <x v="2"/>
    <s v="Critical"/>
    <s v="In Progress"/>
    <x v="0"/>
    <s v="Bearing"/>
    <n v="4"/>
    <x v="11"/>
  </r>
  <r>
    <s v="AST1504"/>
    <x v="2"/>
    <x v="1"/>
    <x v="2"/>
    <s v="Machine-504"/>
    <n v="2021"/>
    <s v="2026-05-05"/>
    <x v="0"/>
    <x v="0"/>
    <n v="9.8000000000000007"/>
    <n v="36421"/>
    <x v="3"/>
    <s v="Critical"/>
    <s v="Pending"/>
    <x v="2"/>
    <s v="None"/>
    <n v="9.5"/>
    <x v="8"/>
  </r>
  <r>
    <s v="AST1505"/>
    <x v="3"/>
    <x v="4"/>
    <x v="1"/>
    <s v="Machine-505"/>
    <n v="2015"/>
    <s v="2026-02-18"/>
    <x v="0"/>
    <x v="3"/>
    <n v="5.5"/>
    <n v="6542"/>
    <x v="0"/>
    <s v="Medium"/>
    <s v="In Progress"/>
    <x v="0"/>
    <s v="None"/>
    <n v="1.9"/>
    <x v="10"/>
  </r>
  <r>
    <s v="AST1506"/>
    <x v="2"/>
    <x v="4"/>
    <x v="4"/>
    <s v="Machine-506"/>
    <n v="2016"/>
    <s v="2026-02-22"/>
    <x v="0"/>
    <x v="0"/>
    <n v="10"/>
    <n v="10152"/>
    <x v="1"/>
    <s v="High"/>
    <s v="In Progress"/>
    <x v="2"/>
    <s v="None"/>
    <n v="6.6"/>
    <x v="6"/>
  </r>
  <r>
    <s v="AST1507"/>
    <x v="0"/>
    <x v="4"/>
    <x v="2"/>
    <s v="Machine-507"/>
    <n v="2018"/>
    <s v="2026-02-18"/>
    <x v="1"/>
    <x v="5"/>
    <n v="11.8"/>
    <n v="28480"/>
    <x v="2"/>
    <s v="High"/>
    <s v="Pending"/>
    <x v="1"/>
    <s v="Sensor"/>
    <n v="5.0999999999999996"/>
    <x v="2"/>
  </r>
  <r>
    <s v="AST1508"/>
    <x v="2"/>
    <x v="1"/>
    <x v="5"/>
    <s v="Machine-508"/>
    <n v="2024"/>
    <s v="2026-06-28"/>
    <x v="0"/>
    <x v="5"/>
    <n v="2.8"/>
    <n v="21586"/>
    <x v="4"/>
    <s v="High"/>
    <s v="Completed"/>
    <x v="2"/>
    <s v="Sensor"/>
    <n v="9.6999999999999993"/>
    <x v="0"/>
  </r>
  <r>
    <s v="AST1509"/>
    <x v="4"/>
    <x v="0"/>
    <x v="5"/>
    <s v="Machine-509"/>
    <n v="2014"/>
    <s v="2026-02-07"/>
    <x v="2"/>
    <x v="5"/>
    <n v="16.7"/>
    <n v="36582"/>
    <x v="3"/>
    <s v="Medium"/>
    <s v="Completed"/>
    <x v="1"/>
    <s v="None"/>
    <n v="9.1"/>
    <x v="9"/>
  </r>
  <r>
    <s v="AST1510"/>
    <x v="1"/>
    <x v="4"/>
    <x v="1"/>
    <s v="Machine-510"/>
    <n v="2016"/>
    <s v="2026-02-11"/>
    <x v="2"/>
    <x v="5"/>
    <n v="2.7"/>
    <n v="18566"/>
    <x v="3"/>
    <s v="Medium"/>
    <s v="Completed"/>
    <x v="1"/>
    <s v="None"/>
    <n v="0.8"/>
    <x v="6"/>
  </r>
  <r>
    <s v="AST1511"/>
    <x v="1"/>
    <x v="0"/>
    <x v="5"/>
    <s v="Machine-511"/>
    <n v="2019"/>
    <s v="2026-03-30"/>
    <x v="1"/>
    <x v="3"/>
    <n v="9.8000000000000007"/>
    <n v="9461"/>
    <x v="0"/>
    <s v="Critical"/>
    <s v="In Progress"/>
    <x v="0"/>
    <s v="Valve"/>
    <n v="9.3000000000000007"/>
    <x v="5"/>
  </r>
  <r>
    <s v="AST1512"/>
    <x v="2"/>
    <x v="1"/>
    <x v="4"/>
    <s v="Machine-512"/>
    <n v="2016"/>
    <s v="2026-01-02"/>
    <x v="1"/>
    <x v="2"/>
    <n v="8.8000000000000007"/>
    <n v="20494"/>
    <x v="2"/>
    <s v="Medium"/>
    <s v="Pending"/>
    <x v="1"/>
    <s v="Valve"/>
    <n v="3.7"/>
    <x v="6"/>
  </r>
  <r>
    <s v="AST1513"/>
    <x v="3"/>
    <x v="4"/>
    <x v="0"/>
    <s v="Machine-513"/>
    <n v="2015"/>
    <s v="2026-07-07"/>
    <x v="1"/>
    <x v="1"/>
    <n v="5.9"/>
    <n v="27821"/>
    <x v="2"/>
    <s v="Medium"/>
    <s v="In Progress"/>
    <x v="2"/>
    <s v="Bearing"/>
    <n v="3.6"/>
    <x v="10"/>
  </r>
  <r>
    <s v="AST1514"/>
    <x v="1"/>
    <x v="1"/>
    <x v="6"/>
    <s v="Machine-514"/>
    <n v="2023"/>
    <s v="2026-06-14"/>
    <x v="0"/>
    <x v="2"/>
    <n v="3.9"/>
    <n v="6978"/>
    <x v="2"/>
    <s v="Critical"/>
    <s v="Pending"/>
    <x v="1"/>
    <s v="Bearing"/>
    <n v="9.8000000000000007"/>
    <x v="4"/>
  </r>
  <r>
    <s v="AST1515"/>
    <x v="3"/>
    <x v="0"/>
    <x v="6"/>
    <s v="Machine-515"/>
    <n v="2020"/>
    <s v="2026-02-19"/>
    <x v="1"/>
    <x v="1"/>
    <n v="16.399999999999999"/>
    <n v="25162"/>
    <x v="1"/>
    <s v="Medium"/>
    <s v="Pending"/>
    <x v="2"/>
    <s v="Sensor"/>
    <n v="4.2"/>
    <x v="3"/>
  </r>
  <r>
    <s v="AST1516"/>
    <x v="4"/>
    <x v="0"/>
    <x v="4"/>
    <s v="Machine-516"/>
    <n v="2014"/>
    <s v="2026-03-14"/>
    <x v="2"/>
    <x v="5"/>
    <n v="2"/>
    <n v="30612"/>
    <x v="5"/>
    <s v="Critical"/>
    <s v="In Progress"/>
    <x v="2"/>
    <s v="Motor"/>
    <n v="8.1999999999999993"/>
    <x v="9"/>
  </r>
  <r>
    <s v="AST1517"/>
    <x v="3"/>
    <x v="2"/>
    <x v="2"/>
    <s v="Machine-517"/>
    <n v="2020"/>
    <s v="2026-07-06"/>
    <x v="1"/>
    <x v="1"/>
    <n v="3"/>
    <n v="21372"/>
    <x v="1"/>
    <s v="High"/>
    <s v="Completed"/>
    <x v="1"/>
    <s v="Valve"/>
    <n v="1.3"/>
    <x v="3"/>
  </r>
  <r>
    <s v="AST1518"/>
    <x v="4"/>
    <x v="3"/>
    <x v="0"/>
    <s v="Machine-518"/>
    <n v="2020"/>
    <s v="2026-06-13"/>
    <x v="1"/>
    <x v="0"/>
    <n v="10.4"/>
    <n v="10473"/>
    <x v="4"/>
    <s v="Medium"/>
    <s v="In Progress"/>
    <x v="2"/>
    <s v="Belt"/>
    <n v="5.2"/>
    <x v="3"/>
  </r>
  <r>
    <s v="AST1519"/>
    <x v="4"/>
    <x v="3"/>
    <x v="6"/>
    <s v="Machine-519"/>
    <n v="2018"/>
    <s v="2026-05-30"/>
    <x v="1"/>
    <x v="3"/>
    <n v="1"/>
    <n v="1660"/>
    <x v="4"/>
    <s v="High"/>
    <s v="In Progress"/>
    <x v="1"/>
    <s v="None"/>
    <n v="5"/>
    <x v="2"/>
  </r>
  <r>
    <s v="AST1520"/>
    <x v="4"/>
    <x v="3"/>
    <x v="0"/>
    <s v="Machine-520"/>
    <n v="2024"/>
    <s v="2026-06-20"/>
    <x v="0"/>
    <x v="0"/>
    <n v="11.8"/>
    <n v="3364"/>
    <x v="0"/>
    <s v="High"/>
    <s v="In Progress"/>
    <x v="0"/>
    <s v="Belt"/>
    <n v="7.6"/>
    <x v="0"/>
  </r>
  <r>
    <s v="AST1521"/>
    <x v="2"/>
    <x v="3"/>
    <x v="2"/>
    <s v="Machine-521"/>
    <n v="2023"/>
    <s v="2026-05-04"/>
    <x v="0"/>
    <x v="0"/>
    <n v="8.8000000000000007"/>
    <n v="9337"/>
    <x v="3"/>
    <s v="Low"/>
    <s v="In Progress"/>
    <x v="0"/>
    <s v="Belt"/>
    <n v="1.1000000000000001"/>
    <x v="4"/>
  </r>
  <r>
    <s v="AST1522"/>
    <x v="1"/>
    <x v="0"/>
    <x v="0"/>
    <s v="Machine-522"/>
    <n v="2019"/>
    <s v="2026-04-29"/>
    <x v="0"/>
    <x v="2"/>
    <n v="7.8"/>
    <n v="24829"/>
    <x v="0"/>
    <s v="High"/>
    <s v="In Progress"/>
    <x v="1"/>
    <s v="None"/>
    <n v="9.4"/>
    <x v="5"/>
  </r>
  <r>
    <s v="AST1523"/>
    <x v="1"/>
    <x v="4"/>
    <x v="6"/>
    <s v="Machine-523"/>
    <n v="2022"/>
    <s v="2026-02-19"/>
    <x v="1"/>
    <x v="5"/>
    <n v="6.1"/>
    <n v="22223"/>
    <x v="5"/>
    <s v="High"/>
    <s v="In Progress"/>
    <x v="1"/>
    <s v="None"/>
    <n v="7"/>
    <x v="1"/>
  </r>
  <r>
    <s v="AST1524"/>
    <x v="2"/>
    <x v="0"/>
    <x v="2"/>
    <s v="Machine-524"/>
    <n v="2015"/>
    <s v="2026-05-17"/>
    <x v="0"/>
    <x v="3"/>
    <n v="9.6"/>
    <n v="25945"/>
    <x v="1"/>
    <s v="Critical"/>
    <s v="In Progress"/>
    <x v="0"/>
    <s v="Bearing"/>
    <n v="2.6"/>
    <x v="10"/>
  </r>
  <r>
    <s v="AST1525"/>
    <x v="1"/>
    <x v="1"/>
    <x v="6"/>
    <s v="Machine-525"/>
    <n v="2022"/>
    <s v="2026-02-26"/>
    <x v="1"/>
    <x v="5"/>
    <n v="15.3"/>
    <n v="37617"/>
    <x v="5"/>
    <s v="Low"/>
    <s v="In Progress"/>
    <x v="2"/>
    <s v="Bearing"/>
    <n v="1.6"/>
    <x v="1"/>
  </r>
  <r>
    <s v="AST1526"/>
    <x v="3"/>
    <x v="0"/>
    <x v="4"/>
    <s v="Machine-526"/>
    <n v="2016"/>
    <s v="2026-01-05"/>
    <x v="1"/>
    <x v="3"/>
    <n v="14.8"/>
    <n v="40667"/>
    <x v="2"/>
    <s v="High"/>
    <s v="Completed"/>
    <x v="1"/>
    <s v="Sensor"/>
    <n v="0.8"/>
    <x v="6"/>
  </r>
  <r>
    <s v="AST1527"/>
    <x v="1"/>
    <x v="2"/>
    <x v="3"/>
    <s v="Machine-527"/>
    <n v="2015"/>
    <s v="2026-02-26"/>
    <x v="0"/>
    <x v="3"/>
    <n v="4.2"/>
    <n v="6651"/>
    <x v="1"/>
    <s v="Low"/>
    <s v="Completed"/>
    <x v="0"/>
    <s v="Valve"/>
    <n v="7.7"/>
    <x v="10"/>
  </r>
  <r>
    <s v="AST1528"/>
    <x v="0"/>
    <x v="4"/>
    <x v="2"/>
    <s v="Machine-528"/>
    <n v="2014"/>
    <s v="2026-02-20"/>
    <x v="1"/>
    <x v="5"/>
    <n v="1.5"/>
    <n v="9293"/>
    <x v="3"/>
    <s v="Low"/>
    <s v="Completed"/>
    <x v="2"/>
    <s v="None"/>
    <n v="0.6"/>
    <x v="9"/>
  </r>
  <r>
    <s v="AST1529"/>
    <x v="0"/>
    <x v="1"/>
    <x v="0"/>
    <s v="Machine-529"/>
    <n v="2015"/>
    <s v="2026-07-20"/>
    <x v="1"/>
    <x v="3"/>
    <n v="3.7"/>
    <n v="24538"/>
    <x v="0"/>
    <s v="Low"/>
    <s v="Completed"/>
    <x v="1"/>
    <s v="Sensor"/>
    <n v="9.5"/>
    <x v="10"/>
  </r>
  <r>
    <s v="AST1530"/>
    <x v="1"/>
    <x v="1"/>
    <x v="2"/>
    <s v="Machine-530"/>
    <n v="2019"/>
    <s v="2026-04-01"/>
    <x v="1"/>
    <x v="3"/>
    <n v="9.3000000000000007"/>
    <n v="5978"/>
    <x v="0"/>
    <s v="Low"/>
    <s v="Pending"/>
    <x v="0"/>
    <s v="None"/>
    <n v="2.2999999999999998"/>
    <x v="5"/>
  </r>
  <r>
    <s v="AST1531"/>
    <x v="2"/>
    <x v="4"/>
    <x v="3"/>
    <s v="Machine-531"/>
    <n v="2018"/>
    <s v="2026-02-13"/>
    <x v="0"/>
    <x v="3"/>
    <n v="16.600000000000001"/>
    <n v="32610"/>
    <x v="3"/>
    <s v="Medium"/>
    <s v="In Progress"/>
    <x v="1"/>
    <s v="Bearing"/>
    <n v="2.2000000000000002"/>
    <x v="2"/>
  </r>
  <r>
    <s v="AST1532"/>
    <x v="3"/>
    <x v="2"/>
    <x v="6"/>
    <s v="Machine-532"/>
    <n v="2019"/>
    <s v="2026-04-08"/>
    <x v="0"/>
    <x v="1"/>
    <n v="13.8"/>
    <n v="22096"/>
    <x v="0"/>
    <s v="Critical"/>
    <s v="Completed"/>
    <x v="1"/>
    <s v="Motor"/>
    <n v="5.2"/>
    <x v="5"/>
  </r>
  <r>
    <s v="AST1533"/>
    <x v="4"/>
    <x v="1"/>
    <x v="3"/>
    <s v="Machine-533"/>
    <n v="2019"/>
    <s v="2026-06-30"/>
    <x v="0"/>
    <x v="2"/>
    <n v="9.1"/>
    <n v="26717"/>
    <x v="3"/>
    <s v="Critical"/>
    <s v="Pending"/>
    <x v="1"/>
    <s v="Sensor"/>
    <n v="7"/>
    <x v="5"/>
  </r>
  <r>
    <s v="AST1534"/>
    <x v="2"/>
    <x v="3"/>
    <x v="4"/>
    <s v="Machine-534"/>
    <n v="2021"/>
    <s v="2026-02-27"/>
    <x v="2"/>
    <x v="4"/>
    <n v="3.8"/>
    <n v="6061"/>
    <x v="1"/>
    <s v="High"/>
    <s v="Completed"/>
    <x v="0"/>
    <s v="None"/>
    <n v="5.2"/>
    <x v="8"/>
  </r>
  <r>
    <s v="AST1535"/>
    <x v="3"/>
    <x v="1"/>
    <x v="3"/>
    <s v="Machine-535"/>
    <n v="2015"/>
    <s v="2026-04-12"/>
    <x v="1"/>
    <x v="1"/>
    <n v="3"/>
    <n v="27755"/>
    <x v="5"/>
    <s v="Low"/>
    <s v="Pending"/>
    <x v="0"/>
    <s v="Bearing"/>
    <n v="4"/>
    <x v="10"/>
  </r>
  <r>
    <s v="AST1536"/>
    <x v="1"/>
    <x v="1"/>
    <x v="2"/>
    <s v="Machine-536"/>
    <n v="2017"/>
    <s v="2026-03-28"/>
    <x v="2"/>
    <x v="1"/>
    <n v="4.5999999999999996"/>
    <n v="29333"/>
    <x v="5"/>
    <s v="Critical"/>
    <s v="In Progress"/>
    <x v="1"/>
    <s v="Belt"/>
    <n v="6.1"/>
    <x v="7"/>
  </r>
  <r>
    <s v="AST1537"/>
    <x v="4"/>
    <x v="3"/>
    <x v="3"/>
    <s v="Machine-537"/>
    <n v="2024"/>
    <s v="2026-04-13"/>
    <x v="1"/>
    <x v="4"/>
    <n v="17.8"/>
    <n v="35016"/>
    <x v="3"/>
    <s v="Medium"/>
    <s v="In Progress"/>
    <x v="0"/>
    <s v="Bearing"/>
    <n v="2.9"/>
    <x v="0"/>
  </r>
  <r>
    <s v="AST1538"/>
    <x v="1"/>
    <x v="4"/>
    <x v="1"/>
    <s v="Machine-538"/>
    <n v="2021"/>
    <s v="2026-03-01"/>
    <x v="1"/>
    <x v="1"/>
    <n v="9.1999999999999993"/>
    <n v="3253"/>
    <x v="4"/>
    <s v="Critical"/>
    <s v="Pending"/>
    <x v="1"/>
    <s v="Sensor"/>
    <n v="2"/>
    <x v="8"/>
  </r>
  <r>
    <s v="AST1539"/>
    <x v="0"/>
    <x v="4"/>
    <x v="3"/>
    <s v="Machine-539"/>
    <n v="2023"/>
    <s v="2026-06-09"/>
    <x v="1"/>
    <x v="4"/>
    <n v="14.4"/>
    <n v="14733"/>
    <x v="3"/>
    <s v="Critical"/>
    <s v="In Progress"/>
    <x v="1"/>
    <s v="Sensor"/>
    <n v="5.7"/>
    <x v="4"/>
  </r>
  <r>
    <s v="AST1540"/>
    <x v="0"/>
    <x v="4"/>
    <x v="5"/>
    <s v="Machine-540"/>
    <n v="2022"/>
    <s v="2026-05-20"/>
    <x v="2"/>
    <x v="1"/>
    <n v="7.2"/>
    <n v="22114"/>
    <x v="1"/>
    <s v="Critical"/>
    <s v="In Progress"/>
    <x v="0"/>
    <s v="Bearing"/>
    <n v="2.2000000000000002"/>
    <x v="1"/>
  </r>
  <r>
    <s v="AST1541"/>
    <x v="4"/>
    <x v="2"/>
    <x v="5"/>
    <s v="Machine-541"/>
    <n v="2024"/>
    <s v="2026-07-19"/>
    <x v="0"/>
    <x v="2"/>
    <n v="13"/>
    <n v="33445"/>
    <x v="0"/>
    <s v="Critical"/>
    <s v="Pending"/>
    <x v="1"/>
    <s v="None"/>
    <n v="5.6"/>
    <x v="0"/>
  </r>
  <r>
    <s v="AST1542"/>
    <x v="2"/>
    <x v="2"/>
    <x v="6"/>
    <s v="Machine-542"/>
    <n v="2021"/>
    <s v="2026-05-02"/>
    <x v="0"/>
    <x v="2"/>
    <n v="9.1999999999999993"/>
    <n v="26259"/>
    <x v="2"/>
    <s v="High"/>
    <s v="In Progress"/>
    <x v="2"/>
    <s v="Bearing"/>
    <n v="0.8"/>
    <x v="8"/>
  </r>
  <r>
    <s v="AST1543"/>
    <x v="4"/>
    <x v="0"/>
    <x v="2"/>
    <s v="Machine-543"/>
    <n v="2014"/>
    <s v="2026-02-02"/>
    <x v="1"/>
    <x v="1"/>
    <n v="13.9"/>
    <n v="42470"/>
    <x v="3"/>
    <s v="Critical"/>
    <s v="Completed"/>
    <x v="2"/>
    <s v="Sensor"/>
    <n v="9.9"/>
    <x v="9"/>
  </r>
  <r>
    <s v="AST1544"/>
    <x v="0"/>
    <x v="2"/>
    <x v="0"/>
    <s v="Machine-544"/>
    <n v="2020"/>
    <s v="2026-03-31"/>
    <x v="0"/>
    <x v="2"/>
    <n v="10.9"/>
    <n v="5792"/>
    <x v="3"/>
    <s v="Low"/>
    <s v="In Progress"/>
    <x v="0"/>
    <s v="Bearing"/>
    <n v="5.6"/>
    <x v="3"/>
  </r>
  <r>
    <s v="AST1545"/>
    <x v="3"/>
    <x v="1"/>
    <x v="6"/>
    <s v="Machine-545"/>
    <n v="2014"/>
    <s v="2026-04-28"/>
    <x v="2"/>
    <x v="2"/>
    <n v="0.9"/>
    <n v="32282"/>
    <x v="2"/>
    <s v="Low"/>
    <s v="In Progress"/>
    <x v="2"/>
    <s v="Belt"/>
    <n v="4.2"/>
    <x v="9"/>
  </r>
  <r>
    <s v="AST1546"/>
    <x v="3"/>
    <x v="4"/>
    <x v="3"/>
    <s v="Machine-546"/>
    <n v="2023"/>
    <s v="2026-01-26"/>
    <x v="1"/>
    <x v="2"/>
    <n v="9.1999999999999993"/>
    <n v="23752"/>
    <x v="4"/>
    <s v="High"/>
    <s v="In Progress"/>
    <x v="2"/>
    <s v="Motor"/>
    <n v="5.2"/>
    <x v="4"/>
  </r>
  <r>
    <s v="AST1547"/>
    <x v="1"/>
    <x v="0"/>
    <x v="4"/>
    <s v="Machine-547"/>
    <n v="2015"/>
    <s v="2026-05-18"/>
    <x v="0"/>
    <x v="5"/>
    <n v="7.5"/>
    <n v="16303"/>
    <x v="2"/>
    <s v="Low"/>
    <s v="Pending"/>
    <x v="1"/>
    <s v="Bearing"/>
    <n v="6.1"/>
    <x v="10"/>
  </r>
  <r>
    <s v="AST1548"/>
    <x v="2"/>
    <x v="1"/>
    <x v="5"/>
    <s v="Machine-548"/>
    <n v="2018"/>
    <s v="2026-01-18"/>
    <x v="0"/>
    <x v="2"/>
    <n v="14.4"/>
    <n v="44199"/>
    <x v="3"/>
    <s v="High"/>
    <s v="In Progress"/>
    <x v="1"/>
    <s v="Belt"/>
    <n v="3.5"/>
    <x v="2"/>
  </r>
  <r>
    <s v="AST1549"/>
    <x v="4"/>
    <x v="1"/>
    <x v="6"/>
    <s v="Machine-549"/>
    <n v="2020"/>
    <s v="2026-04-13"/>
    <x v="0"/>
    <x v="5"/>
    <n v="3.7"/>
    <n v="2719"/>
    <x v="5"/>
    <s v="Medium"/>
    <s v="Pending"/>
    <x v="2"/>
    <s v="Motor"/>
    <n v="6.8"/>
    <x v="3"/>
  </r>
  <r>
    <s v="AST1550"/>
    <x v="4"/>
    <x v="1"/>
    <x v="2"/>
    <s v="Machine-550"/>
    <n v="2025"/>
    <s v="2026-04-30"/>
    <x v="1"/>
    <x v="4"/>
    <n v="16.899999999999999"/>
    <n v="42575"/>
    <x v="0"/>
    <s v="Medium"/>
    <s v="In Progress"/>
    <x v="2"/>
    <s v="Motor"/>
    <n v="2.8"/>
    <x v="11"/>
  </r>
  <r>
    <s v="AST1551"/>
    <x v="4"/>
    <x v="3"/>
    <x v="5"/>
    <s v="Machine-551"/>
    <n v="2025"/>
    <s v="2026-06-25"/>
    <x v="0"/>
    <x v="1"/>
    <n v="11.6"/>
    <n v="28529"/>
    <x v="3"/>
    <s v="High"/>
    <s v="Pending"/>
    <x v="0"/>
    <s v="Sensor"/>
    <n v="7"/>
    <x v="11"/>
  </r>
  <r>
    <s v="AST1552"/>
    <x v="1"/>
    <x v="4"/>
    <x v="0"/>
    <s v="Machine-552"/>
    <n v="2017"/>
    <s v="2026-04-14"/>
    <x v="0"/>
    <x v="3"/>
    <n v="14.4"/>
    <n v="21851"/>
    <x v="1"/>
    <s v="Critical"/>
    <s v="Pending"/>
    <x v="2"/>
    <s v="Valve"/>
    <n v="6.6"/>
    <x v="7"/>
  </r>
  <r>
    <s v="AST1553"/>
    <x v="1"/>
    <x v="0"/>
    <x v="0"/>
    <s v="Machine-553"/>
    <n v="2014"/>
    <s v="2026-02-21"/>
    <x v="0"/>
    <x v="2"/>
    <n v="12"/>
    <n v="13033"/>
    <x v="5"/>
    <s v="Low"/>
    <s v="Pending"/>
    <x v="2"/>
    <s v="Bearing"/>
    <n v="1"/>
    <x v="9"/>
  </r>
  <r>
    <s v="AST1554"/>
    <x v="2"/>
    <x v="0"/>
    <x v="2"/>
    <s v="Machine-554"/>
    <n v="2015"/>
    <s v="2026-03-22"/>
    <x v="0"/>
    <x v="4"/>
    <n v="16.2"/>
    <n v="44585"/>
    <x v="0"/>
    <s v="Critical"/>
    <s v="Pending"/>
    <x v="0"/>
    <s v="Motor"/>
    <n v="1.6"/>
    <x v="10"/>
  </r>
  <r>
    <s v="AST1555"/>
    <x v="0"/>
    <x v="1"/>
    <x v="3"/>
    <s v="Machine-555"/>
    <n v="2025"/>
    <s v="2026-05-09"/>
    <x v="1"/>
    <x v="5"/>
    <n v="4.9000000000000004"/>
    <n v="7414"/>
    <x v="4"/>
    <s v="Low"/>
    <s v="In Progress"/>
    <x v="2"/>
    <s v="Belt"/>
    <n v="7.5"/>
    <x v="11"/>
  </r>
  <r>
    <s v="AST1556"/>
    <x v="1"/>
    <x v="3"/>
    <x v="0"/>
    <s v="Machine-556"/>
    <n v="2025"/>
    <s v="2026-07-10"/>
    <x v="0"/>
    <x v="3"/>
    <n v="4.2"/>
    <n v="19492"/>
    <x v="1"/>
    <s v="Critical"/>
    <s v="In Progress"/>
    <x v="1"/>
    <s v="Bearing"/>
    <n v="5.2"/>
    <x v="11"/>
  </r>
  <r>
    <s v="AST1557"/>
    <x v="0"/>
    <x v="0"/>
    <x v="6"/>
    <s v="Machine-557"/>
    <n v="2019"/>
    <s v="2026-06-29"/>
    <x v="0"/>
    <x v="0"/>
    <n v="4.8"/>
    <n v="19701"/>
    <x v="4"/>
    <s v="High"/>
    <s v="In Progress"/>
    <x v="1"/>
    <s v="Sensor"/>
    <n v="8.3000000000000007"/>
    <x v="5"/>
  </r>
  <r>
    <s v="AST1558"/>
    <x v="2"/>
    <x v="4"/>
    <x v="2"/>
    <s v="Machine-558"/>
    <n v="2014"/>
    <s v="2026-06-15"/>
    <x v="1"/>
    <x v="1"/>
    <n v="12.6"/>
    <n v="17207"/>
    <x v="3"/>
    <s v="Critical"/>
    <s v="In Progress"/>
    <x v="1"/>
    <s v="None"/>
    <n v="3.9"/>
    <x v="9"/>
  </r>
  <r>
    <s v="AST1559"/>
    <x v="2"/>
    <x v="2"/>
    <x v="2"/>
    <s v="Machine-559"/>
    <n v="2024"/>
    <s v="2026-02-01"/>
    <x v="0"/>
    <x v="1"/>
    <n v="16.399999999999999"/>
    <n v="27254"/>
    <x v="3"/>
    <s v="High"/>
    <s v="Completed"/>
    <x v="0"/>
    <s v="Sensor"/>
    <n v="2.5"/>
    <x v="0"/>
  </r>
  <r>
    <s v="AST1560"/>
    <x v="4"/>
    <x v="3"/>
    <x v="2"/>
    <s v="Machine-560"/>
    <n v="2016"/>
    <s v="2026-04-23"/>
    <x v="0"/>
    <x v="1"/>
    <n v="14.9"/>
    <n v="33723"/>
    <x v="1"/>
    <s v="Critical"/>
    <s v="In Progress"/>
    <x v="1"/>
    <s v="Valve"/>
    <n v="8.8000000000000007"/>
    <x v="6"/>
  </r>
  <r>
    <s v="AST1561"/>
    <x v="4"/>
    <x v="1"/>
    <x v="1"/>
    <s v="Machine-561"/>
    <n v="2015"/>
    <s v="2026-02-11"/>
    <x v="0"/>
    <x v="5"/>
    <n v="13.3"/>
    <n v="37395"/>
    <x v="5"/>
    <s v="High"/>
    <s v="In Progress"/>
    <x v="1"/>
    <s v="Bearing"/>
    <n v="7.7"/>
    <x v="10"/>
  </r>
  <r>
    <s v="AST1562"/>
    <x v="1"/>
    <x v="3"/>
    <x v="2"/>
    <s v="Machine-562"/>
    <n v="2024"/>
    <s v="2026-06-14"/>
    <x v="1"/>
    <x v="1"/>
    <n v="7.5"/>
    <n v="42676"/>
    <x v="3"/>
    <s v="High"/>
    <s v="Pending"/>
    <x v="0"/>
    <s v="Bearing"/>
    <n v="2"/>
    <x v="0"/>
  </r>
  <r>
    <s v="AST1563"/>
    <x v="1"/>
    <x v="1"/>
    <x v="3"/>
    <s v="Machine-563"/>
    <n v="2022"/>
    <s v="2026-07-02"/>
    <x v="0"/>
    <x v="2"/>
    <n v="8.4"/>
    <n v="10249"/>
    <x v="3"/>
    <s v="Medium"/>
    <s v="Pending"/>
    <x v="1"/>
    <s v="Sensor"/>
    <n v="8.1"/>
    <x v="1"/>
  </r>
  <r>
    <s v="AST1564"/>
    <x v="3"/>
    <x v="0"/>
    <x v="0"/>
    <s v="Machine-564"/>
    <n v="2017"/>
    <s v="2026-01-22"/>
    <x v="0"/>
    <x v="4"/>
    <n v="17"/>
    <n v="38881"/>
    <x v="4"/>
    <s v="Low"/>
    <s v="Completed"/>
    <x v="1"/>
    <s v="None"/>
    <n v="6.3"/>
    <x v="7"/>
  </r>
  <r>
    <s v="AST1565"/>
    <x v="3"/>
    <x v="2"/>
    <x v="4"/>
    <s v="Machine-565"/>
    <n v="2017"/>
    <s v="2026-01-23"/>
    <x v="1"/>
    <x v="3"/>
    <n v="1.4"/>
    <n v="42001"/>
    <x v="1"/>
    <s v="High"/>
    <s v="Completed"/>
    <x v="0"/>
    <s v="Sensor"/>
    <n v="2.1"/>
    <x v="7"/>
  </r>
  <r>
    <s v="AST1566"/>
    <x v="0"/>
    <x v="1"/>
    <x v="5"/>
    <s v="Machine-566"/>
    <n v="2023"/>
    <s v="2026-01-31"/>
    <x v="1"/>
    <x v="4"/>
    <n v="15"/>
    <n v="33884"/>
    <x v="0"/>
    <s v="Medium"/>
    <s v="Pending"/>
    <x v="0"/>
    <s v="Motor"/>
    <n v="9.5"/>
    <x v="4"/>
  </r>
  <r>
    <s v="AST1567"/>
    <x v="3"/>
    <x v="3"/>
    <x v="0"/>
    <s v="Machine-567"/>
    <n v="2018"/>
    <s v="2026-03-15"/>
    <x v="0"/>
    <x v="3"/>
    <n v="11"/>
    <n v="20044"/>
    <x v="5"/>
    <s v="Medium"/>
    <s v="In Progress"/>
    <x v="0"/>
    <s v="Valve"/>
    <n v="8"/>
    <x v="2"/>
  </r>
  <r>
    <s v="AST1568"/>
    <x v="4"/>
    <x v="2"/>
    <x v="6"/>
    <s v="Machine-568"/>
    <n v="2014"/>
    <s v="2026-03-16"/>
    <x v="0"/>
    <x v="3"/>
    <n v="7"/>
    <n v="43917"/>
    <x v="1"/>
    <s v="Low"/>
    <s v="Completed"/>
    <x v="2"/>
    <s v="Motor"/>
    <n v="8.8000000000000007"/>
    <x v="9"/>
  </r>
  <r>
    <s v="AST1569"/>
    <x v="1"/>
    <x v="3"/>
    <x v="3"/>
    <s v="Machine-569"/>
    <n v="2025"/>
    <s v="2026-04-12"/>
    <x v="0"/>
    <x v="5"/>
    <n v="5"/>
    <n v="7744"/>
    <x v="2"/>
    <s v="Low"/>
    <s v="Completed"/>
    <x v="2"/>
    <s v="Motor"/>
    <n v="5"/>
    <x v="11"/>
  </r>
  <r>
    <s v="AST1570"/>
    <x v="2"/>
    <x v="4"/>
    <x v="1"/>
    <s v="Machine-570"/>
    <n v="2019"/>
    <s v="2026-06-05"/>
    <x v="0"/>
    <x v="5"/>
    <n v="7.2"/>
    <n v="27366"/>
    <x v="5"/>
    <s v="High"/>
    <s v="Completed"/>
    <x v="1"/>
    <s v="Bearing"/>
    <n v="6"/>
    <x v="5"/>
  </r>
  <r>
    <s v="AST1571"/>
    <x v="2"/>
    <x v="3"/>
    <x v="4"/>
    <s v="Machine-571"/>
    <n v="2018"/>
    <s v="2026-02-13"/>
    <x v="2"/>
    <x v="3"/>
    <n v="2.1"/>
    <n v="36261"/>
    <x v="1"/>
    <s v="Medium"/>
    <s v="In Progress"/>
    <x v="0"/>
    <s v="Sensor"/>
    <n v="0.9"/>
    <x v="2"/>
  </r>
  <r>
    <s v="AST1572"/>
    <x v="4"/>
    <x v="0"/>
    <x v="5"/>
    <s v="Machine-572"/>
    <n v="2016"/>
    <s v="2026-05-08"/>
    <x v="0"/>
    <x v="2"/>
    <n v="11.2"/>
    <n v="18785"/>
    <x v="2"/>
    <s v="High"/>
    <s v="In Progress"/>
    <x v="0"/>
    <s v="Sensor"/>
    <n v="7.5"/>
    <x v="6"/>
  </r>
  <r>
    <s v="AST1573"/>
    <x v="1"/>
    <x v="1"/>
    <x v="2"/>
    <s v="Machine-573"/>
    <n v="2021"/>
    <s v="2026-07-15"/>
    <x v="2"/>
    <x v="0"/>
    <n v="14.5"/>
    <n v="4987"/>
    <x v="4"/>
    <s v="Medium"/>
    <s v="Completed"/>
    <x v="0"/>
    <s v="Motor"/>
    <n v="0.8"/>
    <x v="8"/>
  </r>
  <r>
    <s v="AST1574"/>
    <x v="3"/>
    <x v="3"/>
    <x v="1"/>
    <s v="Machine-574"/>
    <n v="2018"/>
    <s v="2026-02-11"/>
    <x v="2"/>
    <x v="4"/>
    <n v="1.2"/>
    <n v="24864"/>
    <x v="5"/>
    <s v="Critical"/>
    <s v="In Progress"/>
    <x v="2"/>
    <s v="Bearing"/>
    <n v="8.5"/>
    <x v="2"/>
  </r>
  <r>
    <s v="AST1575"/>
    <x v="4"/>
    <x v="4"/>
    <x v="0"/>
    <s v="Machine-575"/>
    <n v="2016"/>
    <s v="2026-02-01"/>
    <x v="2"/>
    <x v="3"/>
    <n v="15.1"/>
    <n v="34840"/>
    <x v="3"/>
    <s v="Medium"/>
    <s v="Pending"/>
    <x v="0"/>
    <s v="Belt"/>
    <n v="7.8"/>
    <x v="6"/>
  </r>
  <r>
    <s v="AST1576"/>
    <x v="0"/>
    <x v="2"/>
    <x v="2"/>
    <s v="Machine-576"/>
    <n v="2016"/>
    <s v="2026-04-17"/>
    <x v="0"/>
    <x v="1"/>
    <n v="16"/>
    <n v="3201"/>
    <x v="3"/>
    <s v="Low"/>
    <s v="In Progress"/>
    <x v="2"/>
    <s v="Belt"/>
    <n v="9.3000000000000007"/>
    <x v="6"/>
  </r>
  <r>
    <s v="AST1577"/>
    <x v="1"/>
    <x v="4"/>
    <x v="1"/>
    <s v="Machine-577"/>
    <n v="2015"/>
    <s v="2026-03-24"/>
    <x v="0"/>
    <x v="0"/>
    <n v="12"/>
    <n v="31256"/>
    <x v="5"/>
    <s v="High"/>
    <s v="Pending"/>
    <x v="1"/>
    <s v="Bearing"/>
    <n v="3.6"/>
    <x v="10"/>
  </r>
  <r>
    <s v="AST1578"/>
    <x v="2"/>
    <x v="3"/>
    <x v="4"/>
    <s v="Machine-578"/>
    <n v="2014"/>
    <s v="2026-06-17"/>
    <x v="2"/>
    <x v="0"/>
    <n v="16.399999999999999"/>
    <n v="38800"/>
    <x v="4"/>
    <s v="Medium"/>
    <s v="Completed"/>
    <x v="1"/>
    <s v="Sensor"/>
    <n v="3.6"/>
    <x v="9"/>
  </r>
  <r>
    <s v="AST1579"/>
    <x v="0"/>
    <x v="1"/>
    <x v="6"/>
    <s v="Machine-579"/>
    <n v="2014"/>
    <s v="2026-07-10"/>
    <x v="0"/>
    <x v="4"/>
    <n v="5"/>
    <n v="17233"/>
    <x v="1"/>
    <s v="Low"/>
    <s v="Completed"/>
    <x v="0"/>
    <s v="Motor"/>
    <n v="4.2"/>
    <x v="9"/>
  </r>
  <r>
    <s v="AST1580"/>
    <x v="1"/>
    <x v="4"/>
    <x v="4"/>
    <s v="Machine-580"/>
    <n v="2020"/>
    <s v="2026-03-14"/>
    <x v="0"/>
    <x v="4"/>
    <n v="13.4"/>
    <n v="21822"/>
    <x v="5"/>
    <s v="Medium"/>
    <s v="In Progress"/>
    <x v="1"/>
    <s v="Bearing"/>
    <n v="8.4"/>
    <x v="3"/>
  </r>
  <r>
    <s v="AST1581"/>
    <x v="3"/>
    <x v="3"/>
    <x v="5"/>
    <s v="Machine-581"/>
    <n v="2022"/>
    <s v="2026-02-21"/>
    <x v="0"/>
    <x v="5"/>
    <n v="11"/>
    <n v="7412"/>
    <x v="1"/>
    <s v="High"/>
    <s v="Pending"/>
    <x v="0"/>
    <s v="Valve"/>
    <n v="6.5"/>
    <x v="1"/>
  </r>
  <r>
    <s v="AST1582"/>
    <x v="2"/>
    <x v="0"/>
    <x v="5"/>
    <s v="Machine-582"/>
    <n v="2015"/>
    <s v="2026-01-11"/>
    <x v="1"/>
    <x v="0"/>
    <n v="12.5"/>
    <n v="11662"/>
    <x v="1"/>
    <s v="Low"/>
    <s v="In Progress"/>
    <x v="2"/>
    <s v="Valve"/>
    <n v="1.3"/>
    <x v="10"/>
  </r>
  <r>
    <s v="AST1583"/>
    <x v="1"/>
    <x v="2"/>
    <x v="3"/>
    <s v="Machine-583"/>
    <n v="2021"/>
    <s v="2026-03-18"/>
    <x v="2"/>
    <x v="3"/>
    <n v="9.6999999999999993"/>
    <n v="20864"/>
    <x v="2"/>
    <s v="Low"/>
    <s v="Pending"/>
    <x v="0"/>
    <s v="Bearing"/>
    <n v="5.4"/>
    <x v="8"/>
  </r>
  <r>
    <s v="AST1584"/>
    <x v="3"/>
    <x v="4"/>
    <x v="5"/>
    <s v="Machine-584"/>
    <n v="2022"/>
    <s v="2026-04-19"/>
    <x v="1"/>
    <x v="5"/>
    <n v="14.7"/>
    <n v="24795"/>
    <x v="3"/>
    <s v="Low"/>
    <s v="Pending"/>
    <x v="0"/>
    <s v="Bearing"/>
    <n v="7.5"/>
    <x v="1"/>
  </r>
  <r>
    <s v="AST1585"/>
    <x v="1"/>
    <x v="3"/>
    <x v="1"/>
    <s v="Machine-585"/>
    <n v="2021"/>
    <s v="2026-02-15"/>
    <x v="0"/>
    <x v="0"/>
    <n v="5.7"/>
    <n v="39983"/>
    <x v="5"/>
    <s v="Critical"/>
    <s v="Pending"/>
    <x v="2"/>
    <s v="Belt"/>
    <n v="8.1999999999999993"/>
    <x v="8"/>
  </r>
  <r>
    <s v="AST1586"/>
    <x v="1"/>
    <x v="2"/>
    <x v="0"/>
    <s v="Machine-586"/>
    <n v="2019"/>
    <s v="2026-07-27"/>
    <x v="0"/>
    <x v="5"/>
    <n v="5"/>
    <n v="8468"/>
    <x v="1"/>
    <s v="Low"/>
    <s v="Completed"/>
    <x v="2"/>
    <s v="Bearing"/>
    <n v="0.6"/>
    <x v="5"/>
  </r>
  <r>
    <s v="AST1587"/>
    <x v="3"/>
    <x v="3"/>
    <x v="2"/>
    <s v="Machine-587"/>
    <n v="2024"/>
    <s v="2026-05-03"/>
    <x v="1"/>
    <x v="0"/>
    <n v="11"/>
    <n v="33397"/>
    <x v="3"/>
    <s v="High"/>
    <s v="Pending"/>
    <x v="1"/>
    <s v="None"/>
    <n v="6.9"/>
    <x v="0"/>
  </r>
  <r>
    <s v="AST1588"/>
    <x v="1"/>
    <x v="2"/>
    <x v="1"/>
    <s v="Machine-588"/>
    <n v="2018"/>
    <s v="2026-01-23"/>
    <x v="0"/>
    <x v="1"/>
    <n v="12.7"/>
    <n v="13835"/>
    <x v="0"/>
    <s v="Medium"/>
    <s v="In Progress"/>
    <x v="1"/>
    <s v="Motor"/>
    <n v="6.7"/>
    <x v="2"/>
  </r>
  <r>
    <s v="AST1589"/>
    <x v="2"/>
    <x v="2"/>
    <x v="1"/>
    <s v="Machine-589"/>
    <n v="2020"/>
    <s v="2026-06-10"/>
    <x v="0"/>
    <x v="4"/>
    <n v="3.1"/>
    <n v="29148"/>
    <x v="0"/>
    <s v="Low"/>
    <s v="Completed"/>
    <x v="0"/>
    <s v="None"/>
    <n v="7.2"/>
    <x v="3"/>
  </r>
  <r>
    <s v="AST1590"/>
    <x v="0"/>
    <x v="3"/>
    <x v="6"/>
    <s v="Machine-590"/>
    <n v="2021"/>
    <s v="2026-05-01"/>
    <x v="0"/>
    <x v="2"/>
    <n v="10.5"/>
    <n v="27172"/>
    <x v="0"/>
    <s v="High"/>
    <s v="Completed"/>
    <x v="0"/>
    <s v="None"/>
    <n v="8.6"/>
    <x v="8"/>
  </r>
  <r>
    <s v="AST1591"/>
    <x v="3"/>
    <x v="1"/>
    <x v="6"/>
    <s v="Machine-591"/>
    <n v="2020"/>
    <s v="2026-04-17"/>
    <x v="1"/>
    <x v="2"/>
    <n v="1.1000000000000001"/>
    <n v="27693"/>
    <x v="1"/>
    <s v="Critical"/>
    <s v="Completed"/>
    <x v="1"/>
    <s v="Bearing"/>
    <n v="5.5"/>
    <x v="3"/>
  </r>
  <r>
    <s v="AST1592"/>
    <x v="4"/>
    <x v="1"/>
    <x v="1"/>
    <s v="Machine-592"/>
    <n v="2020"/>
    <s v="2026-05-28"/>
    <x v="0"/>
    <x v="0"/>
    <n v="7.8"/>
    <n v="32520"/>
    <x v="0"/>
    <s v="Critical"/>
    <s v="Pending"/>
    <x v="1"/>
    <s v="Sensor"/>
    <n v="4.8"/>
    <x v="3"/>
  </r>
  <r>
    <s v="AST1593"/>
    <x v="1"/>
    <x v="0"/>
    <x v="3"/>
    <s v="Machine-593"/>
    <n v="2020"/>
    <s v="2026-01-06"/>
    <x v="0"/>
    <x v="2"/>
    <n v="8.1999999999999993"/>
    <n v="34768"/>
    <x v="4"/>
    <s v="High"/>
    <s v="Pending"/>
    <x v="1"/>
    <s v="None"/>
    <n v="5"/>
    <x v="3"/>
  </r>
  <r>
    <s v="AST1594"/>
    <x v="3"/>
    <x v="3"/>
    <x v="2"/>
    <s v="Machine-594"/>
    <n v="2018"/>
    <s v="2026-07-05"/>
    <x v="2"/>
    <x v="0"/>
    <n v="13.4"/>
    <n v="32454"/>
    <x v="4"/>
    <s v="Medium"/>
    <s v="In Progress"/>
    <x v="1"/>
    <s v="None"/>
    <n v="1.3"/>
    <x v="2"/>
  </r>
  <r>
    <s v="AST1595"/>
    <x v="1"/>
    <x v="2"/>
    <x v="0"/>
    <s v="Machine-595"/>
    <n v="2021"/>
    <s v="2026-02-03"/>
    <x v="1"/>
    <x v="1"/>
    <n v="14.4"/>
    <n v="33856"/>
    <x v="3"/>
    <s v="Medium"/>
    <s v="Completed"/>
    <x v="1"/>
    <s v="Bearing"/>
    <n v="10"/>
    <x v="8"/>
  </r>
  <r>
    <s v="AST1596"/>
    <x v="4"/>
    <x v="2"/>
    <x v="0"/>
    <s v="Machine-596"/>
    <n v="2019"/>
    <s v="2026-03-08"/>
    <x v="1"/>
    <x v="5"/>
    <n v="1.1000000000000001"/>
    <n v="5672"/>
    <x v="3"/>
    <s v="Critical"/>
    <s v="Completed"/>
    <x v="1"/>
    <s v="Motor"/>
    <n v="1.6"/>
    <x v="5"/>
  </r>
  <r>
    <s v="AST1597"/>
    <x v="4"/>
    <x v="0"/>
    <x v="2"/>
    <s v="Machine-597"/>
    <n v="2017"/>
    <s v="2026-05-05"/>
    <x v="0"/>
    <x v="1"/>
    <n v="14"/>
    <n v="38005"/>
    <x v="3"/>
    <s v="Medium"/>
    <s v="Pending"/>
    <x v="1"/>
    <s v="Belt"/>
    <n v="6.9"/>
    <x v="7"/>
  </r>
  <r>
    <s v="AST1598"/>
    <x v="3"/>
    <x v="3"/>
    <x v="2"/>
    <s v="Machine-598"/>
    <n v="2025"/>
    <s v="2026-01-13"/>
    <x v="1"/>
    <x v="1"/>
    <n v="14.2"/>
    <n v="41454"/>
    <x v="0"/>
    <s v="Low"/>
    <s v="Pending"/>
    <x v="0"/>
    <s v="Motor"/>
    <n v="6.5"/>
    <x v="11"/>
  </r>
  <r>
    <s v="AST1599"/>
    <x v="1"/>
    <x v="0"/>
    <x v="3"/>
    <s v="Machine-599"/>
    <n v="2017"/>
    <s v="2026-04-03"/>
    <x v="0"/>
    <x v="5"/>
    <n v="9.1999999999999993"/>
    <n v="8007"/>
    <x v="4"/>
    <s v="High"/>
    <s v="In Progress"/>
    <x v="0"/>
    <s v="Bearing"/>
    <n v="8.6"/>
    <x v="7"/>
  </r>
  <r>
    <s v="AST1600"/>
    <x v="0"/>
    <x v="2"/>
    <x v="2"/>
    <s v="Machine-600"/>
    <n v="2021"/>
    <s v="2026-04-17"/>
    <x v="1"/>
    <x v="2"/>
    <n v="5.5"/>
    <n v="12723"/>
    <x v="0"/>
    <s v="High"/>
    <s v="In Progress"/>
    <x v="1"/>
    <s v="Valve"/>
    <n v="3.9"/>
    <x v="8"/>
  </r>
  <r>
    <s v="AST1601"/>
    <x v="1"/>
    <x v="1"/>
    <x v="5"/>
    <s v="Machine-601"/>
    <n v="2024"/>
    <s v="2026-03-04"/>
    <x v="1"/>
    <x v="3"/>
    <n v="14.5"/>
    <n v="28593"/>
    <x v="1"/>
    <s v="Critical"/>
    <s v="Pending"/>
    <x v="1"/>
    <s v="Sensor"/>
    <n v="9.5"/>
    <x v="0"/>
  </r>
  <r>
    <s v="AST1602"/>
    <x v="0"/>
    <x v="1"/>
    <x v="1"/>
    <s v="Machine-602"/>
    <n v="2021"/>
    <s v="2026-02-07"/>
    <x v="0"/>
    <x v="2"/>
    <n v="7.5"/>
    <n v="12269"/>
    <x v="1"/>
    <s v="Low"/>
    <s v="In Progress"/>
    <x v="0"/>
    <s v="None"/>
    <n v="9.3000000000000007"/>
    <x v="8"/>
  </r>
  <r>
    <s v="AST1603"/>
    <x v="0"/>
    <x v="1"/>
    <x v="4"/>
    <s v="Machine-603"/>
    <n v="2016"/>
    <s v="2026-05-28"/>
    <x v="0"/>
    <x v="0"/>
    <n v="12.8"/>
    <n v="21444"/>
    <x v="5"/>
    <s v="High"/>
    <s v="In Progress"/>
    <x v="0"/>
    <s v="Sensor"/>
    <n v="9.1"/>
    <x v="6"/>
  </r>
  <r>
    <s v="AST1604"/>
    <x v="3"/>
    <x v="3"/>
    <x v="3"/>
    <s v="Machine-604"/>
    <n v="2023"/>
    <s v="2026-02-07"/>
    <x v="0"/>
    <x v="5"/>
    <n v="11.4"/>
    <n v="42013"/>
    <x v="5"/>
    <s v="Critical"/>
    <s v="Pending"/>
    <x v="2"/>
    <s v="None"/>
    <n v="4.3"/>
    <x v="4"/>
  </r>
  <r>
    <s v="AST1605"/>
    <x v="0"/>
    <x v="4"/>
    <x v="6"/>
    <s v="Machine-605"/>
    <n v="2017"/>
    <s v="2026-03-19"/>
    <x v="0"/>
    <x v="0"/>
    <n v="13.1"/>
    <n v="9757"/>
    <x v="2"/>
    <s v="High"/>
    <s v="Completed"/>
    <x v="0"/>
    <s v="Belt"/>
    <n v="5.7"/>
    <x v="7"/>
  </r>
  <r>
    <s v="AST1606"/>
    <x v="1"/>
    <x v="4"/>
    <x v="1"/>
    <s v="Machine-606"/>
    <n v="2022"/>
    <s v="2026-03-29"/>
    <x v="2"/>
    <x v="5"/>
    <n v="10.9"/>
    <n v="17316"/>
    <x v="3"/>
    <s v="Critical"/>
    <s v="Pending"/>
    <x v="0"/>
    <s v="None"/>
    <n v="1.1000000000000001"/>
    <x v="1"/>
  </r>
  <r>
    <s v="AST1607"/>
    <x v="2"/>
    <x v="0"/>
    <x v="1"/>
    <s v="Machine-607"/>
    <n v="2019"/>
    <s v="2026-03-08"/>
    <x v="0"/>
    <x v="0"/>
    <n v="17"/>
    <n v="30908"/>
    <x v="3"/>
    <s v="Low"/>
    <s v="In Progress"/>
    <x v="2"/>
    <s v="Motor"/>
    <n v="8.1999999999999993"/>
    <x v="5"/>
  </r>
  <r>
    <s v="AST1608"/>
    <x v="2"/>
    <x v="1"/>
    <x v="0"/>
    <s v="Machine-608"/>
    <n v="2023"/>
    <s v="2026-05-25"/>
    <x v="0"/>
    <x v="2"/>
    <n v="12.2"/>
    <n v="39036"/>
    <x v="5"/>
    <s v="Medium"/>
    <s v="Pending"/>
    <x v="2"/>
    <s v="Belt"/>
    <n v="7.5"/>
    <x v="4"/>
  </r>
  <r>
    <s v="AST1609"/>
    <x v="2"/>
    <x v="1"/>
    <x v="0"/>
    <s v="Machine-609"/>
    <n v="2015"/>
    <s v="2026-03-25"/>
    <x v="1"/>
    <x v="2"/>
    <n v="8.5"/>
    <n v="11104"/>
    <x v="5"/>
    <s v="Critical"/>
    <s v="In Progress"/>
    <x v="0"/>
    <s v="Bearing"/>
    <n v="1.1000000000000001"/>
    <x v="10"/>
  </r>
  <r>
    <s v="AST1610"/>
    <x v="1"/>
    <x v="3"/>
    <x v="1"/>
    <s v="Machine-610"/>
    <n v="2016"/>
    <s v="2026-05-02"/>
    <x v="0"/>
    <x v="5"/>
    <n v="7.5"/>
    <n v="38132"/>
    <x v="2"/>
    <s v="Critical"/>
    <s v="In Progress"/>
    <x v="1"/>
    <s v="Valve"/>
    <n v="6.5"/>
    <x v="6"/>
  </r>
  <r>
    <s v="AST1611"/>
    <x v="3"/>
    <x v="3"/>
    <x v="2"/>
    <s v="Machine-611"/>
    <n v="2021"/>
    <s v="2026-06-26"/>
    <x v="0"/>
    <x v="5"/>
    <n v="2.7"/>
    <n v="31496"/>
    <x v="4"/>
    <s v="Low"/>
    <s v="Pending"/>
    <x v="0"/>
    <s v="Valve"/>
    <n v="5"/>
    <x v="8"/>
  </r>
  <r>
    <s v="AST1612"/>
    <x v="2"/>
    <x v="0"/>
    <x v="1"/>
    <s v="Machine-612"/>
    <n v="2025"/>
    <s v="2026-02-10"/>
    <x v="1"/>
    <x v="4"/>
    <n v="2.4"/>
    <n v="25721"/>
    <x v="2"/>
    <s v="High"/>
    <s v="Completed"/>
    <x v="1"/>
    <s v="Motor"/>
    <n v="1.6"/>
    <x v="11"/>
  </r>
  <r>
    <s v="AST1613"/>
    <x v="4"/>
    <x v="0"/>
    <x v="5"/>
    <s v="Machine-613"/>
    <n v="2018"/>
    <s v="2026-04-06"/>
    <x v="0"/>
    <x v="3"/>
    <n v="3"/>
    <n v="40141"/>
    <x v="1"/>
    <s v="Low"/>
    <s v="In Progress"/>
    <x v="2"/>
    <s v="Motor"/>
    <n v="2.2000000000000002"/>
    <x v="2"/>
  </r>
  <r>
    <s v="AST1614"/>
    <x v="0"/>
    <x v="4"/>
    <x v="6"/>
    <s v="Machine-614"/>
    <n v="2025"/>
    <s v="2026-05-06"/>
    <x v="0"/>
    <x v="1"/>
    <n v="7.8"/>
    <n v="39056"/>
    <x v="3"/>
    <s v="Critical"/>
    <s v="In Progress"/>
    <x v="2"/>
    <s v="Valve"/>
    <n v="8.4"/>
    <x v="11"/>
  </r>
  <r>
    <s v="AST1615"/>
    <x v="1"/>
    <x v="1"/>
    <x v="3"/>
    <s v="Machine-615"/>
    <n v="2023"/>
    <s v="2026-02-03"/>
    <x v="0"/>
    <x v="4"/>
    <n v="12.2"/>
    <n v="11263"/>
    <x v="5"/>
    <s v="High"/>
    <s v="Completed"/>
    <x v="1"/>
    <s v="None"/>
    <n v="6.4"/>
    <x v="4"/>
  </r>
  <r>
    <s v="AST1616"/>
    <x v="3"/>
    <x v="0"/>
    <x v="6"/>
    <s v="Machine-616"/>
    <n v="2020"/>
    <s v="2026-03-01"/>
    <x v="0"/>
    <x v="0"/>
    <n v="16.100000000000001"/>
    <n v="19678"/>
    <x v="5"/>
    <s v="Low"/>
    <s v="Completed"/>
    <x v="1"/>
    <s v="Bearing"/>
    <n v="5.9"/>
    <x v="3"/>
  </r>
  <r>
    <s v="AST1617"/>
    <x v="2"/>
    <x v="4"/>
    <x v="3"/>
    <s v="Machine-617"/>
    <n v="2025"/>
    <s v="2026-03-21"/>
    <x v="1"/>
    <x v="3"/>
    <n v="17.2"/>
    <n v="37009"/>
    <x v="2"/>
    <s v="Low"/>
    <s v="Pending"/>
    <x v="1"/>
    <s v="Motor"/>
    <n v="7.6"/>
    <x v="11"/>
  </r>
  <r>
    <s v="AST1618"/>
    <x v="0"/>
    <x v="1"/>
    <x v="0"/>
    <s v="Machine-618"/>
    <n v="2022"/>
    <s v="2026-01-05"/>
    <x v="2"/>
    <x v="2"/>
    <n v="14.3"/>
    <n v="17575"/>
    <x v="5"/>
    <s v="Critical"/>
    <s v="Completed"/>
    <x v="1"/>
    <s v="Belt"/>
    <n v="3.5"/>
    <x v="1"/>
  </r>
  <r>
    <s v="AST1619"/>
    <x v="3"/>
    <x v="4"/>
    <x v="4"/>
    <s v="Machine-619"/>
    <n v="2023"/>
    <s v="2026-01-12"/>
    <x v="0"/>
    <x v="4"/>
    <n v="0.9"/>
    <n v="36096"/>
    <x v="3"/>
    <s v="Critical"/>
    <s v="In Progress"/>
    <x v="0"/>
    <s v="Bearing"/>
    <n v="9.8000000000000007"/>
    <x v="4"/>
  </r>
  <r>
    <s v="AST1620"/>
    <x v="4"/>
    <x v="2"/>
    <x v="0"/>
    <s v="Machine-620"/>
    <n v="2022"/>
    <s v="2026-02-13"/>
    <x v="0"/>
    <x v="1"/>
    <n v="3.2"/>
    <n v="28191"/>
    <x v="5"/>
    <s v="Medium"/>
    <s v="Completed"/>
    <x v="1"/>
    <s v="Sensor"/>
    <n v="2.2000000000000002"/>
    <x v="1"/>
  </r>
  <r>
    <s v="AST1621"/>
    <x v="4"/>
    <x v="3"/>
    <x v="1"/>
    <s v="Machine-621"/>
    <n v="2025"/>
    <s v="2026-01-15"/>
    <x v="0"/>
    <x v="4"/>
    <n v="16.100000000000001"/>
    <n v="18403"/>
    <x v="1"/>
    <s v="Low"/>
    <s v="Completed"/>
    <x v="0"/>
    <s v="Motor"/>
    <n v="7.6"/>
    <x v="11"/>
  </r>
  <r>
    <s v="AST1622"/>
    <x v="3"/>
    <x v="1"/>
    <x v="2"/>
    <s v="Machine-622"/>
    <n v="2023"/>
    <s v="2026-03-02"/>
    <x v="1"/>
    <x v="1"/>
    <n v="5.2"/>
    <n v="22362"/>
    <x v="1"/>
    <s v="Critical"/>
    <s v="Completed"/>
    <x v="2"/>
    <s v="Bearing"/>
    <n v="4.4000000000000004"/>
    <x v="4"/>
  </r>
  <r>
    <s v="AST1623"/>
    <x v="4"/>
    <x v="1"/>
    <x v="6"/>
    <s v="Machine-623"/>
    <n v="2017"/>
    <s v="2026-01-05"/>
    <x v="1"/>
    <x v="3"/>
    <n v="13.9"/>
    <n v="44200"/>
    <x v="4"/>
    <s v="High"/>
    <s v="Pending"/>
    <x v="2"/>
    <s v="Valve"/>
    <n v="1.3"/>
    <x v="7"/>
  </r>
  <r>
    <s v="AST1624"/>
    <x v="1"/>
    <x v="2"/>
    <x v="4"/>
    <s v="Machine-624"/>
    <n v="2024"/>
    <s v="2026-05-09"/>
    <x v="1"/>
    <x v="3"/>
    <n v="14.2"/>
    <n v="36727"/>
    <x v="1"/>
    <s v="Critical"/>
    <s v="Completed"/>
    <x v="0"/>
    <s v="Valve"/>
    <n v="9.6"/>
    <x v="0"/>
  </r>
  <r>
    <s v="AST1625"/>
    <x v="1"/>
    <x v="4"/>
    <x v="1"/>
    <s v="Machine-625"/>
    <n v="2023"/>
    <s v="2026-03-16"/>
    <x v="2"/>
    <x v="4"/>
    <n v="5.3"/>
    <n v="17942"/>
    <x v="5"/>
    <s v="Critical"/>
    <s v="In Progress"/>
    <x v="1"/>
    <s v="Motor"/>
    <n v="6.1"/>
    <x v="4"/>
  </r>
  <r>
    <s v="AST1626"/>
    <x v="0"/>
    <x v="2"/>
    <x v="3"/>
    <s v="Machine-626"/>
    <n v="2022"/>
    <s v="2026-03-14"/>
    <x v="1"/>
    <x v="1"/>
    <n v="5.8"/>
    <n v="27406"/>
    <x v="5"/>
    <s v="Low"/>
    <s v="Completed"/>
    <x v="1"/>
    <s v="Belt"/>
    <n v="10"/>
    <x v="1"/>
  </r>
  <r>
    <s v="AST1627"/>
    <x v="2"/>
    <x v="1"/>
    <x v="2"/>
    <s v="Machine-627"/>
    <n v="2020"/>
    <s v="2026-02-23"/>
    <x v="0"/>
    <x v="0"/>
    <n v="17"/>
    <n v="43126"/>
    <x v="3"/>
    <s v="Critical"/>
    <s v="In Progress"/>
    <x v="0"/>
    <s v="None"/>
    <n v="9.8000000000000007"/>
    <x v="3"/>
  </r>
  <r>
    <s v="AST1628"/>
    <x v="3"/>
    <x v="1"/>
    <x v="4"/>
    <s v="Machine-628"/>
    <n v="2019"/>
    <s v="2026-02-23"/>
    <x v="0"/>
    <x v="0"/>
    <n v="2.8"/>
    <n v="1634"/>
    <x v="2"/>
    <s v="Critical"/>
    <s v="Completed"/>
    <x v="0"/>
    <s v="None"/>
    <n v="2.1"/>
    <x v="5"/>
  </r>
  <r>
    <s v="AST1629"/>
    <x v="3"/>
    <x v="3"/>
    <x v="6"/>
    <s v="Machine-629"/>
    <n v="2022"/>
    <s v="2026-06-28"/>
    <x v="0"/>
    <x v="0"/>
    <n v="11.9"/>
    <n v="36800"/>
    <x v="0"/>
    <s v="Critical"/>
    <s v="Pending"/>
    <x v="0"/>
    <s v="Sensor"/>
    <n v="9.6999999999999993"/>
    <x v="1"/>
  </r>
  <r>
    <s v="AST1630"/>
    <x v="4"/>
    <x v="3"/>
    <x v="0"/>
    <s v="Machine-630"/>
    <n v="2020"/>
    <s v="2026-06-03"/>
    <x v="1"/>
    <x v="0"/>
    <n v="17.7"/>
    <n v="9676"/>
    <x v="1"/>
    <s v="High"/>
    <s v="Completed"/>
    <x v="2"/>
    <s v="Bearing"/>
    <n v="2.6"/>
    <x v="3"/>
  </r>
  <r>
    <s v="AST1631"/>
    <x v="4"/>
    <x v="0"/>
    <x v="0"/>
    <s v="Machine-631"/>
    <n v="2014"/>
    <s v="2026-07-14"/>
    <x v="0"/>
    <x v="5"/>
    <n v="11.4"/>
    <n v="15993"/>
    <x v="4"/>
    <s v="Critical"/>
    <s v="In Progress"/>
    <x v="0"/>
    <s v="Sensor"/>
    <n v="5.2"/>
    <x v="9"/>
  </r>
  <r>
    <s v="AST1632"/>
    <x v="2"/>
    <x v="2"/>
    <x v="1"/>
    <s v="Machine-632"/>
    <n v="2025"/>
    <s v="2026-06-30"/>
    <x v="0"/>
    <x v="0"/>
    <n v="7.4"/>
    <n v="19676"/>
    <x v="2"/>
    <s v="Critical"/>
    <s v="Completed"/>
    <x v="1"/>
    <s v="Motor"/>
    <n v="6.8"/>
    <x v="11"/>
  </r>
  <r>
    <s v="AST1633"/>
    <x v="2"/>
    <x v="1"/>
    <x v="0"/>
    <s v="Machine-633"/>
    <n v="2023"/>
    <s v="2026-06-22"/>
    <x v="0"/>
    <x v="3"/>
    <n v="13.6"/>
    <n v="9851"/>
    <x v="3"/>
    <s v="Medium"/>
    <s v="Pending"/>
    <x v="1"/>
    <s v="Sensor"/>
    <n v="2.2999999999999998"/>
    <x v="4"/>
  </r>
  <r>
    <s v="AST1634"/>
    <x v="2"/>
    <x v="1"/>
    <x v="4"/>
    <s v="Machine-634"/>
    <n v="2024"/>
    <s v="2026-01-06"/>
    <x v="1"/>
    <x v="4"/>
    <n v="0.5"/>
    <n v="29491"/>
    <x v="5"/>
    <s v="Low"/>
    <s v="In Progress"/>
    <x v="2"/>
    <s v="Valve"/>
    <n v="3.1"/>
    <x v="0"/>
  </r>
  <r>
    <s v="AST1635"/>
    <x v="3"/>
    <x v="3"/>
    <x v="4"/>
    <s v="Machine-635"/>
    <n v="2024"/>
    <s v="2026-05-13"/>
    <x v="1"/>
    <x v="1"/>
    <n v="16"/>
    <n v="16215"/>
    <x v="0"/>
    <s v="High"/>
    <s v="In Progress"/>
    <x v="1"/>
    <s v="Valve"/>
    <n v="3.5"/>
    <x v="0"/>
  </r>
  <r>
    <s v="AST1636"/>
    <x v="4"/>
    <x v="4"/>
    <x v="6"/>
    <s v="Machine-636"/>
    <n v="2020"/>
    <s v="2026-02-19"/>
    <x v="1"/>
    <x v="0"/>
    <n v="4.4000000000000004"/>
    <n v="29275"/>
    <x v="0"/>
    <s v="Medium"/>
    <s v="Completed"/>
    <x v="0"/>
    <s v="Sensor"/>
    <n v="3.5"/>
    <x v="3"/>
  </r>
  <r>
    <s v="AST1637"/>
    <x v="0"/>
    <x v="4"/>
    <x v="5"/>
    <s v="Machine-637"/>
    <n v="2024"/>
    <s v="2026-06-10"/>
    <x v="0"/>
    <x v="1"/>
    <n v="10.9"/>
    <n v="42545"/>
    <x v="3"/>
    <s v="High"/>
    <s v="Completed"/>
    <x v="0"/>
    <s v="Valve"/>
    <n v="2.8"/>
    <x v="0"/>
  </r>
  <r>
    <s v="AST1638"/>
    <x v="4"/>
    <x v="1"/>
    <x v="2"/>
    <s v="Machine-638"/>
    <n v="2019"/>
    <s v="2026-01-14"/>
    <x v="0"/>
    <x v="1"/>
    <n v="14.1"/>
    <n v="42103"/>
    <x v="1"/>
    <s v="Low"/>
    <s v="Pending"/>
    <x v="2"/>
    <s v="Belt"/>
    <n v="1.7"/>
    <x v="5"/>
  </r>
  <r>
    <s v="AST1639"/>
    <x v="3"/>
    <x v="0"/>
    <x v="2"/>
    <s v="Machine-639"/>
    <n v="2014"/>
    <s v="2026-01-09"/>
    <x v="1"/>
    <x v="3"/>
    <n v="1.6"/>
    <n v="30461"/>
    <x v="0"/>
    <s v="High"/>
    <s v="Pending"/>
    <x v="1"/>
    <s v="Valve"/>
    <n v="1.1000000000000001"/>
    <x v="9"/>
  </r>
  <r>
    <s v="AST1640"/>
    <x v="2"/>
    <x v="4"/>
    <x v="4"/>
    <s v="Machine-640"/>
    <n v="2024"/>
    <s v="2026-01-15"/>
    <x v="1"/>
    <x v="4"/>
    <n v="2.2000000000000002"/>
    <n v="28442"/>
    <x v="4"/>
    <s v="Low"/>
    <s v="In Progress"/>
    <x v="2"/>
    <s v="Valve"/>
    <n v="8.1"/>
    <x v="0"/>
  </r>
  <r>
    <s v="AST1641"/>
    <x v="0"/>
    <x v="0"/>
    <x v="3"/>
    <s v="Machine-641"/>
    <n v="2023"/>
    <s v="2026-06-08"/>
    <x v="2"/>
    <x v="1"/>
    <n v="8.4"/>
    <n v="23008"/>
    <x v="2"/>
    <s v="Medium"/>
    <s v="Completed"/>
    <x v="0"/>
    <s v="Bearing"/>
    <n v="6.2"/>
    <x v="4"/>
  </r>
  <r>
    <s v="AST1642"/>
    <x v="1"/>
    <x v="1"/>
    <x v="0"/>
    <s v="Machine-642"/>
    <n v="2015"/>
    <s v="2026-06-01"/>
    <x v="1"/>
    <x v="2"/>
    <n v="6.7"/>
    <n v="33048"/>
    <x v="5"/>
    <s v="Critical"/>
    <s v="Completed"/>
    <x v="0"/>
    <s v="Motor"/>
    <n v="8.1"/>
    <x v="10"/>
  </r>
  <r>
    <s v="AST1643"/>
    <x v="4"/>
    <x v="1"/>
    <x v="5"/>
    <s v="Machine-643"/>
    <n v="2014"/>
    <s v="2026-02-02"/>
    <x v="1"/>
    <x v="0"/>
    <n v="13.7"/>
    <n v="21894"/>
    <x v="2"/>
    <s v="Medium"/>
    <s v="Completed"/>
    <x v="2"/>
    <s v="Sensor"/>
    <n v="6.2"/>
    <x v="9"/>
  </r>
  <r>
    <s v="AST1644"/>
    <x v="0"/>
    <x v="1"/>
    <x v="6"/>
    <s v="Machine-644"/>
    <n v="2018"/>
    <s v="2026-04-05"/>
    <x v="1"/>
    <x v="3"/>
    <n v="1.5"/>
    <n v="34733"/>
    <x v="2"/>
    <s v="Low"/>
    <s v="In Progress"/>
    <x v="2"/>
    <s v="Motor"/>
    <n v="9.8000000000000007"/>
    <x v="2"/>
  </r>
  <r>
    <s v="AST1645"/>
    <x v="0"/>
    <x v="0"/>
    <x v="0"/>
    <s v="Machine-645"/>
    <n v="2024"/>
    <s v="2026-02-21"/>
    <x v="1"/>
    <x v="0"/>
    <n v="12.6"/>
    <n v="32131"/>
    <x v="2"/>
    <s v="High"/>
    <s v="Pending"/>
    <x v="1"/>
    <s v="Sensor"/>
    <n v="6.4"/>
    <x v="0"/>
  </r>
  <r>
    <s v="AST1646"/>
    <x v="1"/>
    <x v="4"/>
    <x v="5"/>
    <s v="Machine-646"/>
    <n v="2020"/>
    <s v="2026-03-26"/>
    <x v="2"/>
    <x v="1"/>
    <n v="9.1999999999999993"/>
    <n v="1742"/>
    <x v="5"/>
    <s v="Medium"/>
    <s v="Pending"/>
    <x v="0"/>
    <s v="Valve"/>
    <n v="6.4"/>
    <x v="3"/>
  </r>
  <r>
    <s v="AST1647"/>
    <x v="4"/>
    <x v="3"/>
    <x v="0"/>
    <s v="Machine-647"/>
    <n v="2017"/>
    <s v="2026-05-04"/>
    <x v="0"/>
    <x v="1"/>
    <n v="6.8"/>
    <n v="6332"/>
    <x v="3"/>
    <s v="Low"/>
    <s v="Pending"/>
    <x v="0"/>
    <s v="Motor"/>
    <n v="3.3"/>
    <x v="7"/>
  </r>
  <r>
    <s v="AST1648"/>
    <x v="2"/>
    <x v="0"/>
    <x v="1"/>
    <s v="Machine-648"/>
    <n v="2017"/>
    <s v="2026-06-11"/>
    <x v="2"/>
    <x v="3"/>
    <n v="4"/>
    <n v="12912"/>
    <x v="4"/>
    <s v="High"/>
    <s v="Pending"/>
    <x v="0"/>
    <s v="Sensor"/>
    <n v="8.6"/>
    <x v="7"/>
  </r>
  <r>
    <s v="AST1649"/>
    <x v="1"/>
    <x v="4"/>
    <x v="0"/>
    <s v="Machine-649"/>
    <n v="2017"/>
    <s v="2026-02-15"/>
    <x v="1"/>
    <x v="1"/>
    <n v="0.9"/>
    <n v="10494"/>
    <x v="1"/>
    <s v="Low"/>
    <s v="In Progress"/>
    <x v="0"/>
    <s v="Sensor"/>
    <n v="4.8"/>
    <x v="7"/>
  </r>
  <r>
    <s v="AST1650"/>
    <x v="4"/>
    <x v="2"/>
    <x v="6"/>
    <s v="Machine-650"/>
    <n v="2019"/>
    <s v="2026-07-27"/>
    <x v="2"/>
    <x v="5"/>
    <n v="15.9"/>
    <n v="5784"/>
    <x v="0"/>
    <s v="Medium"/>
    <s v="Completed"/>
    <x v="0"/>
    <s v="Motor"/>
    <n v="5.6"/>
    <x v="5"/>
  </r>
  <r>
    <s v="AST1651"/>
    <x v="4"/>
    <x v="1"/>
    <x v="5"/>
    <s v="Machine-651"/>
    <n v="2025"/>
    <s v="2026-04-06"/>
    <x v="2"/>
    <x v="3"/>
    <n v="16.600000000000001"/>
    <n v="41872"/>
    <x v="2"/>
    <s v="Medium"/>
    <s v="Pending"/>
    <x v="2"/>
    <s v="Motor"/>
    <n v="3.6"/>
    <x v="11"/>
  </r>
  <r>
    <s v="AST1652"/>
    <x v="4"/>
    <x v="2"/>
    <x v="2"/>
    <s v="Machine-652"/>
    <n v="2014"/>
    <s v="2026-06-11"/>
    <x v="1"/>
    <x v="5"/>
    <n v="16"/>
    <n v="15212"/>
    <x v="5"/>
    <s v="Low"/>
    <s v="In Progress"/>
    <x v="1"/>
    <s v="Belt"/>
    <n v="1.1000000000000001"/>
    <x v="9"/>
  </r>
  <r>
    <s v="AST1653"/>
    <x v="2"/>
    <x v="0"/>
    <x v="5"/>
    <s v="Machine-653"/>
    <n v="2022"/>
    <s v="2026-04-10"/>
    <x v="1"/>
    <x v="3"/>
    <n v="6.1"/>
    <n v="26002"/>
    <x v="2"/>
    <s v="Critical"/>
    <s v="Pending"/>
    <x v="2"/>
    <s v="Valve"/>
    <n v="3"/>
    <x v="1"/>
  </r>
  <r>
    <s v="AST1654"/>
    <x v="2"/>
    <x v="4"/>
    <x v="0"/>
    <s v="Machine-654"/>
    <n v="2020"/>
    <s v="2026-06-13"/>
    <x v="0"/>
    <x v="3"/>
    <n v="8.4"/>
    <n v="16860"/>
    <x v="1"/>
    <s v="Medium"/>
    <s v="In Progress"/>
    <x v="2"/>
    <s v="Valve"/>
    <n v="5.9"/>
    <x v="3"/>
  </r>
  <r>
    <s v="AST1655"/>
    <x v="2"/>
    <x v="4"/>
    <x v="0"/>
    <s v="Machine-655"/>
    <n v="2019"/>
    <s v="2026-03-07"/>
    <x v="1"/>
    <x v="2"/>
    <n v="8.3000000000000007"/>
    <n v="24540"/>
    <x v="4"/>
    <s v="Low"/>
    <s v="In Progress"/>
    <x v="1"/>
    <s v="Belt"/>
    <n v="3.7"/>
    <x v="5"/>
  </r>
  <r>
    <s v="AST1656"/>
    <x v="3"/>
    <x v="3"/>
    <x v="4"/>
    <s v="Machine-656"/>
    <n v="2021"/>
    <s v="2026-04-30"/>
    <x v="1"/>
    <x v="2"/>
    <n v="5.3"/>
    <n v="3119"/>
    <x v="4"/>
    <s v="Critical"/>
    <s v="Completed"/>
    <x v="2"/>
    <s v="None"/>
    <n v="1.2"/>
    <x v="8"/>
  </r>
  <r>
    <s v="AST1657"/>
    <x v="2"/>
    <x v="1"/>
    <x v="6"/>
    <s v="Machine-657"/>
    <n v="2015"/>
    <s v="2026-03-17"/>
    <x v="1"/>
    <x v="2"/>
    <n v="16.7"/>
    <n v="7949"/>
    <x v="0"/>
    <s v="Low"/>
    <s v="In Progress"/>
    <x v="0"/>
    <s v="Belt"/>
    <n v="2.4"/>
    <x v="10"/>
  </r>
  <r>
    <s v="AST1658"/>
    <x v="4"/>
    <x v="0"/>
    <x v="4"/>
    <s v="Machine-658"/>
    <n v="2017"/>
    <s v="2026-06-22"/>
    <x v="1"/>
    <x v="0"/>
    <n v="15.3"/>
    <n v="13993"/>
    <x v="5"/>
    <s v="Medium"/>
    <s v="Pending"/>
    <x v="1"/>
    <s v="Belt"/>
    <n v="9.1999999999999993"/>
    <x v="7"/>
  </r>
  <r>
    <s v="AST1659"/>
    <x v="4"/>
    <x v="0"/>
    <x v="2"/>
    <s v="Machine-659"/>
    <n v="2014"/>
    <s v="2026-07-17"/>
    <x v="0"/>
    <x v="4"/>
    <n v="17.100000000000001"/>
    <n v="39507"/>
    <x v="5"/>
    <s v="Low"/>
    <s v="In Progress"/>
    <x v="1"/>
    <s v="Belt"/>
    <n v="9.9"/>
    <x v="9"/>
  </r>
  <r>
    <s v="AST1660"/>
    <x v="1"/>
    <x v="2"/>
    <x v="3"/>
    <s v="Machine-660"/>
    <n v="2016"/>
    <s v="2026-04-12"/>
    <x v="1"/>
    <x v="4"/>
    <n v="4.5999999999999996"/>
    <n v="39969"/>
    <x v="2"/>
    <s v="Critical"/>
    <s v="Pending"/>
    <x v="2"/>
    <s v="Sensor"/>
    <n v="8"/>
    <x v="6"/>
  </r>
  <r>
    <s v="AST1661"/>
    <x v="3"/>
    <x v="3"/>
    <x v="0"/>
    <s v="Machine-661"/>
    <n v="2019"/>
    <s v="2026-02-18"/>
    <x v="0"/>
    <x v="5"/>
    <n v="1"/>
    <n v="10606"/>
    <x v="2"/>
    <s v="Medium"/>
    <s v="In Progress"/>
    <x v="1"/>
    <s v="Bearing"/>
    <n v="5.2"/>
    <x v="5"/>
  </r>
  <r>
    <s v="AST1662"/>
    <x v="4"/>
    <x v="2"/>
    <x v="5"/>
    <s v="Machine-662"/>
    <n v="2024"/>
    <s v="2026-04-01"/>
    <x v="0"/>
    <x v="4"/>
    <n v="13.8"/>
    <n v="36732"/>
    <x v="3"/>
    <s v="High"/>
    <s v="Pending"/>
    <x v="0"/>
    <s v="Belt"/>
    <n v="8"/>
    <x v="0"/>
  </r>
  <r>
    <s v="AST1663"/>
    <x v="4"/>
    <x v="1"/>
    <x v="3"/>
    <s v="Machine-663"/>
    <n v="2016"/>
    <s v="2026-02-09"/>
    <x v="1"/>
    <x v="5"/>
    <n v="10.5"/>
    <n v="27117"/>
    <x v="1"/>
    <s v="Medium"/>
    <s v="In Progress"/>
    <x v="0"/>
    <s v="Belt"/>
    <n v="4.2"/>
    <x v="6"/>
  </r>
  <r>
    <s v="AST1664"/>
    <x v="4"/>
    <x v="1"/>
    <x v="5"/>
    <s v="Machine-664"/>
    <n v="2021"/>
    <s v="2026-01-28"/>
    <x v="1"/>
    <x v="2"/>
    <n v="2.1"/>
    <n v="8336"/>
    <x v="5"/>
    <s v="Medium"/>
    <s v="Completed"/>
    <x v="1"/>
    <s v="Belt"/>
    <n v="5.0999999999999996"/>
    <x v="8"/>
  </r>
  <r>
    <s v="AST1665"/>
    <x v="0"/>
    <x v="3"/>
    <x v="4"/>
    <s v="Machine-665"/>
    <n v="2016"/>
    <s v="2026-02-20"/>
    <x v="0"/>
    <x v="2"/>
    <n v="12"/>
    <n v="6086"/>
    <x v="1"/>
    <s v="Low"/>
    <s v="In Progress"/>
    <x v="1"/>
    <s v="Bearing"/>
    <n v="2.1"/>
    <x v="6"/>
  </r>
  <r>
    <s v="AST1666"/>
    <x v="1"/>
    <x v="4"/>
    <x v="0"/>
    <s v="Machine-666"/>
    <n v="2020"/>
    <s v="2026-04-11"/>
    <x v="1"/>
    <x v="4"/>
    <n v="13.5"/>
    <n v="26993"/>
    <x v="4"/>
    <s v="Medium"/>
    <s v="Completed"/>
    <x v="2"/>
    <s v="Valve"/>
    <n v="8.3000000000000007"/>
    <x v="3"/>
  </r>
  <r>
    <s v="AST1667"/>
    <x v="1"/>
    <x v="1"/>
    <x v="6"/>
    <s v="Machine-667"/>
    <n v="2024"/>
    <s v="2026-05-02"/>
    <x v="2"/>
    <x v="5"/>
    <n v="4.0999999999999996"/>
    <n v="31578"/>
    <x v="3"/>
    <s v="Medium"/>
    <s v="Completed"/>
    <x v="0"/>
    <s v="Valve"/>
    <n v="1.1000000000000001"/>
    <x v="0"/>
  </r>
  <r>
    <s v="AST1668"/>
    <x v="1"/>
    <x v="1"/>
    <x v="4"/>
    <s v="Machine-668"/>
    <n v="2020"/>
    <s v="2026-06-04"/>
    <x v="2"/>
    <x v="4"/>
    <n v="8.6"/>
    <n v="39257"/>
    <x v="0"/>
    <s v="Low"/>
    <s v="In Progress"/>
    <x v="1"/>
    <s v="Valve"/>
    <n v="3.8"/>
    <x v="3"/>
  </r>
  <r>
    <s v="AST1669"/>
    <x v="4"/>
    <x v="3"/>
    <x v="6"/>
    <s v="Machine-669"/>
    <n v="2025"/>
    <s v="2026-07-22"/>
    <x v="1"/>
    <x v="3"/>
    <n v="7.8"/>
    <n v="13268"/>
    <x v="2"/>
    <s v="Critical"/>
    <s v="In Progress"/>
    <x v="2"/>
    <s v="None"/>
    <n v="2.2000000000000002"/>
    <x v="11"/>
  </r>
  <r>
    <s v="AST1670"/>
    <x v="3"/>
    <x v="4"/>
    <x v="0"/>
    <s v="Machine-670"/>
    <n v="2023"/>
    <s v="2026-01-25"/>
    <x v="2"/>
    <x v="3"/>
    <n v="5.3"/>
    <n v="42662"/>
    <x v="2"/>
    <s v="High"/>
    <s v="Pending"/>
    <x v="0"/>
    <s v="None"/>
    <n v="7.4"/>
    <x v="4"/>
  </r>
  <r>
    <s v="AST1671"/>
    <x v="3"/>
    <x v="1"/>
    <x v="1"/>
    <s v="Machine-671"/>
    <n v="2017"/>
    <s v="2026-05-07"/>
    <x v="2"/>
    <x v="1"/>
    <n v="13.7"/>
    <n v="34556"/>
    <x v="3"/>
    <s v="Critical"/>
    <s v="In Progress"/>
    <x v="0"/>
    <s v="Sensor"/>
    <n v="2.5"/>
    <x v="7"/>
  </r>
  <r>
    <s v="AST1672"/>
    <x v="0"/>
    <x v="4"/>
    <x v="3"/>
    <s v="Machine-672"/>
    <n v="2014"/>
    <s v="2026-04-29"/>
    <x v="1"/>
    <x v="0"/>
    <n v="8.6"/>
    <n v="24021"/>
    <x v="5"/>
    <s v="Critical"/>
    <s v="Completed"/>
    <x v="2"/>
    <s v="Bearing"/>
    <n v="0.6"/>
    <x v="9"/>
  </r>
  <r>
    <s v="AST1673"/>
    <x v="1"/>
    <x v="0"/>
    <x v="3"/>
    <s v="Machine-673"/>
    <n v="2015"/>
    <s v="2026-07-01"/>
    <x v="1"/>
    <x v="4"/>
    <n v="8.6"/>
    <n v="6909"/>
    <x v="2"/>
    <s v="Medium"/>
    <s v="Pending"/>
    <x v="2"/>
    <s v="Motor"/>
    <n v="5"/>
    <x v="10"/>
  </r>
  <r>
    <s v="AST1674"/>
    <x v="1"/>
    <x v="4"/>
    <x v="6"/>
    <s v="Machine-674"/>
    <n v="2018"/>
    <s v="2026-02-11"/>
    <x v="0"/>
    <x v="2"/>
    <n v="2.7"/>
    <n v="27114"/>
    <x v="4"/>
    <s v="Low"/>
    <s v="Pending"/>
    <x v="0"/>
    <s v="None"/>
    <n v="3.1"/>
    <x v="2"/>
  </r>
  <r>
    <s v="AST1675"/>
    <x v="1"/>
    <x v="2"/>
    <x v="3"/>
    <s v="Machine-675"/>
    <n v="2021"/>
    <s v="2026-04-02"/>
    <x v="0"/>
    <x v="0"/>
    <n v="9.8000000000000007"/>
    <n v="30470"/>
    <x v="5"/>
    <s v="Low"/>
    <s v="Pending"/>
    <x v="1"/>
    <s v="None"/>
    <n v="6.8"/>
    <x v="8"/>
  </r>
  <r>
    <s v="AST1676"/>
    <x v="3"/>
    <x v="0"/>
    <x v="5"/>
    <s v="Machine-676"/>
    <n v="2024"/>
    <s v="2026-01-27"/>
    <x v="0"/>
    <x v="1"/>
    <n v="1.4"/>
    <n v="26232"/>
    <x v="4"/>
    <s v="Medium"/>
    <s v="In Progress"/>
    <x v="0"/>
    <s v="Motor"/>
    <n v="1.4"/>
    <x v="0"/>
  </r>
  <r>
    <s v="AST1677"/>
    <x v="0"/>
    <x v="0"/>
    <x v="2"/>
    <s v="Machine-677"/>
    <n v="2020"/>
    <s v="2026-01-08"/>
    <x v="0"/>
    <x v="0"/>
    <n v="1.6"/>
    <n v="7830"/>
    <x v="5"/>
    <s v="Medium"/>
    <s v="Pending"/>
    <x v="0"/>
    <s v="Bearing"/>
    <n v="4.4000000000000004"/>
    <x v="3"/>
  </r>
  <r>
    <s v="AST1678"/>
    <x v="4"/>
    <x v="0"/>
    <x v="6"/>
    <s v="Machine-678"/>
    <n v="2015"/>
    <s v="2026-07-28"/>
    <x v="1"/>
    <x v="5"/>
    <n v="4.0999999999999996"/>
    <n v="37001"/>
    <x v="1"/>
    <s v="Critical"/>
    <s v="Completed"/>
    <x v="0"/>
    <s v="Motor"/>
    <n v="1.5"/>
    <x v="10"/>
  </r>
  <r>
    <s v="AST1679"/>
    <x v="0"/>
    <x v="3"/>
    <x v="3"/>
    <s v="Machine-679"/>
    <n v="2019"/>
    <s v="2026-02-14"/>
    <x v="0"/>
    <x v="4"/>
    <n v="4.2"/>
    <n v="15924"/>
    <x v="0"/>
    <s v="High"/>
    <s v="Pending"/>
    <x v="1"/>
    <s v="Sensor"/>
    <n v="0.9"/>
    <x v="5"/>
  </r>
  <r>
    <s v="AST1680"/>
    <x v="4"/>
    <x v="1"/>
    <x v="5"/>
    <s v="Machine-680"/>
    <n v="2017"/>
    <s v="2026-04-16"/>
    <x v="2"/>
    <x v="1"/>
    <n v="13"/>
    <n v="38803"/>
    <x v="4"/>
    <s v="High"/>
    <s v="Completed"/>
    <x v="1"/>
    <s v="Sensor"/>
    <n v="9.8000000000000007"/>
    <x v="7"/>
  </r>
  <r>
    <s v="AST1681"/>
    <x v="1"/>
    <x v="0"/>
    <x v="0"/>
    <s v="Machine-681"/>
    <n v="2025"/>
    <s v="2026-04-10"/>
    <x v="1"/>
    <x v="0"/>
    <n v="6.1"/>
    <n v="33096"/>
    <x v="0"/>
    <s v="High"/>
    <s v="Completed"/>
    <x v="1"/>
    <s v="Belt"/>
    <n v="4.8"/>
    <x v="11"/>
  </r>
  <r>
    <s v="AST1682"/>
    <x v="1"/>
    <x v="1"/>
    <x v="6"/>
    <s v="Machine-682"/>
    <n v="2022"/>
    <s v="2026-06-13"/>
    <x v="1"/>
    <x v="1"/>
    <n v="4.5999999999999996"/>
    <n v="41893"/>
    <x v="0"/>
    <s v="High"/>
    <s v="Completed"/>
    <x v="1"/>
    <s v="Valve"/>
    <n v="7.7"/>
    <x v="1"/>
  </r>
  <r>
    <s v="AST1683"/>
    <x v="0"/>
    <x v="2"/>
    <x v="4"/>
    <s v="Machine-683"/>
    <n v="2023"/>
    <s v="2026-01-21"/>
    <x v="0"/>
    <x v="3"/>
    <n v="3.2"/>
    <n v="14894"/>
    <x v="5"/>
    <s v="Low"/>
    <s v="Completed"/>
    <x v="1"/>
    <s v="Belt"/>
    <n v="9.9"/>
    <x v="4"/>
  </r>
  <r>
    <s v="AST1684"/>
    <x v="4"/>
    <x v="2"/>
    <x v="4"/>
    <s v="Machine-684"/>
    <n v="2021"/>
    <s v="2026-07-09"/>
    <x v="0"/>
    <x v="1"/>
    <n v="9.6"/>
    <n v="28690"/>
    <x v="5"/>
    <s v="High"/>
    <s v="Completed"/>
    <x v="0"/>
    <s v="None"/>
    <n v="3.6"/>
    <x v="8"/>
  </r>
  <r>
    <s v="AST1685"/>
    <x v="2"/>
    <x v="4"/>
    <x v="3"/>
    <s v="Machine-685"/>
    <n v="2017"/>
    <s v="2026-02-22"/>
    <x v="2"/>
    <x v="0"/>
    <n v="12.7"/>
    <n v="16078"/>
    <x v="2"/>
    <s v="Critical"/>
    <s v="Pending"/>
    <x v="2"/>
    <s v="Motor"/>
    <n v="4.7"/>
    <x v="7"/>
  </r>
  <r>
    <s v="AST1686"/>
    <x v="3"/>
    <x v="4"/>
    <x v="0"/>
    <s v="Machine-686"/>
    <n v="2014"/>
    <s v="2026-01-17"/>
    <x v="0"/>
    <x v="3"/>
    <n v="16.899999999999999"/>
    <n v="9728"/>
    <x v="0"/>
    <s v="Medium"/>
    <s v="Pending"/>
    <x v="1"/>
    <s v="Motor"/>
    <n v="2.7"/>
    <x v="9"/>
  </r>
  <r>
    <s v="AST1687"/>
    <x v="3"/>
    <x v="0"/>
    <x v="0"/>
    <s v="Machine-687"/>
    <n v="2015"/>
    <s v="2026-04-20"/>
    <x v="1"/>
    <x v="3"/>
    <n v="7.9"/>
    <n v="41205"/>
    <x v="4"/>
    <s v="High"/>
    <s v="In Progress"/>
    <x v="1"/>
    <s v="Valve"/>
    <n v="9.6999999999999993"/>
    <x v="10"/>
  </r>
  <r>
    <s v="AST1688"/>
    <x v="3"/>
    <x v="4"/>
    <x v="4"/>
    <s v="Machine-688"/>
    <n v="2017"/>
    <s v="2026-03-11"/>
    <x v="0"/>
    <x v="3"/>
    <n v="8.6999999999999993"/>
    <n v="29201"/>
    <x v="2"/>
    <s v="Critical"/>
    <s v="Completed"/>
    <x v="2"/>
    <s v="Bearing"/>
    <n v="7.7"/>
    <x v="7"/>
  </r>
  <r>
    <s v="AST1689"/>
    <x v="4"/>
    <x v="1"/>
    <x v="6"/>
    <s v="Machine-689"/>
    <n v="2020"/>
    <s v="2026-01-22"/>
    <x v="0"/>
    <x v="0"/>
    <n v="3.6"/>
    <n v="26433"/>
    <x v="1"/>
    <s v="High"/>
    <s v="In Progress"/>
    <x v="2"/>
    <s v="Valve"/>
    <n v="5.8"/>
    <x v="3"/>
  </r>
  <r>
    <s v="AST1690"/>
    <x v="4"/>
    <x v="2"/>
    <x v="3"/>
    <s v="Machine-690"/>
    <n v="2021"/>
    <s v="2026-01-19"/>
    <x v="0"/>
    <x v="3"/>
    <n v="16.5"/>
    <n v="1773"/>
    <x v="0"/>
    <s v="High"/>
    <s v="In Progress"/>
    <x v="2"/>
    <s v="Valve"/>
    <n v="9.4"/>
    <x v="8"/>
  </r>
  <r>
    <s v="AST1691"/>
    <x v="3"/>
    <x v="3"/>
    <x v="4"/>
    <s v="Machine-691"/>
    <n v="2025"/>
    <s v="2026-04-06"/>
    <x v="1"/>
    <x v="5"/>
    <n v="1.7"/>
    <n v="4044"/>
    <x v="0"/>
    <s v="Critical"/>
    <s v="Pending"/>
    <x v="0"/>
    <s v="Motor"/>
    <n v="7.7"/>
    <x v="11"/>
  </r>
  <r>
    <s v="AST1692"/>
    <x v="4"/>
    <x v="1"/>
    <x v="3"/>
    <s v="Machine-692"/>
    <n v="2018"/>
    <s v="2026-07-17"/>
    <x v="0"/>
    <x v="0"/>
    <n v="6.9"/>
    <n v="5281"/>
    <x v="5"/>
    <s v="Critical"/>
    <s v="In Progress"/>
    <x v="1"/>
    <s v="Motor"/>
    <n v="2.8"/>
    <x v="2"/>
  </r>
  <r>
    <s v="AST1693"/>
    <x v="4"/>
    <x v="4"/>
    <x v="3"/>
    <s v="Machine-693"/>
    <n v="2014"/>
    <s v="2026-07-28"/>
    <x v="1"/>
    <x v="3"/>
    <n v="5.0999999999999996"/>
    <n v="31349"/>
    <x v="5"/>
    <s v="Medium"/>
    <s v="In Progress"/>
    <x v="0"/>
    <s v="Belt"/>
    <n v="6"/>
    <x v="9"/>
  </r>
  <r>
    <s v="AST1694"/>
    <x v="0"/>
    <x v="4"/>
    <x v="2"/>
    <s v="Machine-694"/>
    <n v="2024"/>
    <s v="2026-02-11"/>
    <x v="0"/>
    <x v="0"/>
    <n v="16.5"/>
    <n v="27561"/>
    <x v="5"/>
    <s v="Low"/>
    <s v="Pending"/>
    <x v="0"/>
    <s v="Valve"/>
    <n v="2.1"/>
    <x v="0"/>
  </r>
  <r>
    <s v="AST1695"/>
    <x v="4"/>
    <x v="1"/>
    <x v="6"/>
    <s v="Machine-695"/>
    <n v="2020"/>
    <s v="2026-03-06"/>
    <x v="1"/>
    <x v="4"/>
    <n v="10.8"/>
    <n v="28475"/>
    <x v="5"/>
    <s v="Low"/>
    <s v="Completed"/>
    <x v="1"/>
    <s v="Belt"/>
    <n v="7.9"/>
    <x v="3"/>
  </r>
  <r>
    <s v="AST1696"/>
    <x v="1"/>
    <x v="0"/>
    <x v="3"/>
    <s v="Machine-696"/>
    <n v="2019"/>
    <s v="2026-07-28"/>
    <x v="0"/>
    <x v="0"/>
    <n v="7.5"/>
    <n v="21691"/>
    <x v="0"/>
    <s v="Medium"/>
    <s v="In Progress"/>
    <x v="0"/>
    <s v="Bearing"/>
    <n v="1.2"/>
    <x v="5"/>
  </r>
  <r>
    <s v="AST1697"/>
    <x v="2"/>
    <x v="3"/>
    <x v="3"/>
    <s v="Machine-697"/>
    <n v="2025"/>
    <s v="2026-04-17"/>
    <x v="0"/>
    <x v="4"/>
    <n v="3.5"/>
    <n v="26053"/>
    <x v="4"/>
    <s v="Medium"/>
    <s v="Completed"/>
    <x v="2"/>
    <s v="Motor"/>
    <n v="5.3"/>
    <x v="11"/>
  </r>
  <r>
    <s v="AST1698"/>
    <x v="2"/>
    <x v="2"/>
    <x v="0"/>
    <s v="Machine-698"/>
    <n v="2015"/>
    <s v="2026-04-26"/>
    <x v="0"/>
    <x v="0"/>
    <n v="3.7"/>
    <n v="14075"/>
    <x v="3"/>
    <s v="Critical"/>
    <s v="In Progress"/>
    <x v="1"/>
    <s v="Belt"/>
    <n v="1.5"/>
    <x v="10"/>
  </r>
  <r>
    <s v="AST1699"/>
    <x v="0"/>
    <x v="0"/>
    <x v="1"/>
    <s v="Machine-699"/>
    <n v="2024"/>
    <s v="2026-02-12"/>
    <x v="0"/>
    <x v="2"/>
    <n v="1.6"/>
    <n v="3444"/>
    <x v="2"/>
    <s v="Medium"/>
    <s v="In Progress"/>
    <x v="2"/>
    <s v="None"/>
    <n v="7.7"/>
    <x v="0"/>
  </r>
  <r>
    <s v="AST1700"/>
    <x v="4"/>
    <x v="4"/>
    <x v="3"/>
    <s v="Machine-700"/>
    <n v="2014"/>
    <s v="2026-01-16"/>
    <x v="1"/>
    <x v="1"/>
    <n v="2.2000000000000002"/>
    <n v="35731"/>
    <x v="0"/>
    <s v="Critical"/>
    <s v="Pending"/>
    <x v="1"/>
    <s v="Sensor"/>
    <n v="9.4"/>
    <x v="9"/>
  </r>
  <r>
    <s v="AST1701"/>
    <x v="4"/>
    <x v="1"/>
    <x v="5"/>
    <s v="Machine-701"/>
    <n v="2021"/>
    <s v="2026-07-13"/>
    <x v="0"/>
    <x v="0"/>
    <n v="16.100000000000001"/>
    <n v="22158"/>
    <x v="4"/>
    <s v="High"/>
    <s v="Pending"/>
    <x v="2"/>
    <s v="Valve"/>
    <n v="6.3"/>
    <x v="8"/>
  </r>
  <r>
    <s v="AST1702"/>
    <x v="0"/>
    <x v="4"/>
    <x v="5"/>
    <s v="Machine-702"/>
    <n v="2019"/>
    <s v="2026-03-26"/>
    <x v="2"/>
    <x v="4"/>
    <n v="13.2"/>
    <n v="10600"/>
    <x v="0"/>
    <s v="Low"/>
    <s v="Pending"/>
    <x v="2"/>
    <s v="None"/>
    <n v="7.6"/>
    <x v="5"/>
  </r>
  <r>
    <s v="AST1703"/>
    <x v="3"/>
    <x v="1"/>
    <x v="3"/>
    <s v="Machine-703"/>
    <n v="2017"/>
    <s v="2026-04-05"/>
    <x v="1"/>
    <x v="4"/>
    <n v="9.5"/>
    <n v="44768"/>
    <x v="4"/>
    <s v="Low"/>
    <s v="Pending"/>
    <x v="2"/>
    <s v="Bearing"/>
    <n v="6.5"/>
    <x v="7"/>
  </r>
  <r>
    <s v="AST1704"/>
    <x v="4"/>
    <x v="3"/>
    <x v="0"/>
    <s v="Machine-704"/>
    <n v="2014"/>
    <s v="2026-07-26"/>
    <x v="1"/>
    <x v="4"/>
    <n v="13.4"/>
    <n v="6832"/>
    <x v="3"/>
    <s v="Critical"/>
    <s v="In Progress"/>
    <x v="1"/>
    <s v="None"/>
    <n v="9.1"/>
    <x v="9"/>
  </r>
  <r>
    <s v="AST1705"/>
    <x v="4"/>
    <x v="1"/>
    <x v="0"/>
    <s v="Machine-705"/>
    <n v="2025"/>
    <s v="2026-04-09"/>
    <x v="1"/>
    <x v="5"/>
    <n v="15.8"/>
    <n v="34571"/>
    <x v="0"/>
    <s v="Medium"/>
    <s v="In Progress"/>
    <x v="0"/>
    <s v="Sensor"/>
    <n v="8.4"/>
    <x v="11"/>
  </r>
  <r>
    <s v="AST1706"/>
    <x v="1"/>
    <x v="3"/>
    <x v="1"/>
    <s v="Machine-706"/>
    <n v="2022"/>
    <s v="2026-04-30"/>
    <x v="0"/>
    <x v="5"/>
    <n v="4.7"/>
    <n v="15370"/>
    <x v="4"/>
    <s v="Low"/>
    <s v="Completed"/>
    <x v="2"/>
    <s v="None"/>
    <n v="0.8"/>
    <x v="1"/>
  </r>
  <r>
    <s v="AST1707"/>
    <x v="4"/>
    <x v="2"/>
    <x v="3"/>
    <s v="Machine-707"/>
    <n v="2019"/>
    <s v="2026-04-09"/>
    <x v="0"/>
    <x v="4"/>
    <n v="17.2"/>
    <n v="9567"/>
    <x v="5"/>
    <s v="Medium"/>
    <s v="Pending"/>
    <x v="1"/>
    <s v="None"/>
    <n v="5.2"/>
    <x v="5"/>
  </r>
  <r>
    <s v="AST1708"/>
    <x v="1"/>
    <x v="1"/>
    <x v="2"/>
    <s v="Machine-708"/>
    <n v="2025"/>
    <s v="2026-03-27"/>
    <x v="2"/>
    <x v="1"/>
    <n v="11.8"/>
    <n v="26207"/>
    <x v="5"/>
    <s v="Critical"/>
    <s v="Pending"/>
    <x v="1"/>
    <s v="Belt"/>
    <n v="9.6999999999999993"/>
    <x v="11"/>
  </r>
  <r>
    <s v="AST1709"/>
    <x v="1"/>
    <x v="2"/>
    <x v="4"/>
    <s v="Machine-709"/>
    <n v="2020"/>
    <s v="2026-07-26"/>
    <x v="0"/>
    <x v="1"/>
    <n v="2.4"/>
    <n v="23797"/>
    <x v="5"/>
    <s v="Medium"/>
    <s v="Pending"/>
    <x v="0"/>
    <s v="Belt"/>
    <n v="4"/>
    <x v="3"/>
  </r>
  <r>
    <s v="AST1710"/>
    <x v="2"/>
    <x v="4"/>
    <x v="4"/>
    <s v="Machine-710"/>
    <n v="2019"/>
    <s v="2026-04-08"/>
    <x v="0"/>
    <x v="5"/>
    <n v="3.8"/>
    <n v="26937"/>
    <x v="1"/>
    <s v="High"/>
    <s v="In Progress"/>
    <x v="1"/>
    <s v="Motor"/>
    <n v="5.4"/>
    <x v="5"/>
  </r>
  <r>
    <s v="AST1711"/>
    <x v="1"/>
    <x v="4"/>
    <x v="5"/>
    <s v="Machine-711"/>
    <n v="2023"/>
    <s v="2026-06-01"/>
    <x v="0"/>
    <x v="4"/>
    <n v="6"/>
    <n v="20952"/>
    <x v="4"/>
    <s v="Critical"/>
    <s v="Pending"/>
    <x v="2"/>
    <s v="Motor"/>
    <n v="6.2"/>
    <x v="4"/>
  </r>
  <r>
    <s v="AST1712"/>
    <x v="0"/>
    <x v="1"/>
    <x v="4"/>
    <s v="Machine-712"/>
    <n v="2016"/>
    <s v="2026-07-11"/>
    <x v="0"/>
    <x v="0"/>
    <n v="2.7"/>
    <n v="39115"/>
    <x v="1"/>
    <s v="Medium"/>
    <s v="In Progress"/>
    <x v="2"/>
    <s v="None"/>
    <n v="9.6999999999999993"/>
    <x v="6"/>
  </r>
  <r>
    <s v="AST1713"/>
    <x v="4"/>
    <x v="2"/>
    <x v="2"/>
    <s v="Machine-713"/>
    <n v="2014"/>
    <s v="2026-07-27"/>
    <x v="1"/>
    <x v="0"/>
    <n v="16.899999999999999"/>
    <n v="16250"/>
    <x v="5"/>
    <s v="Low"/>
    <s v="Completed"/>
    <x v="2"/>
    <s v="None"/>
    <n v="4.2"/>
    <x v="9"/>
  </r>
  <r>
    <s v="AST1714"/>
    <x v="0"/>
    <x v="1"/>
    <x v="5"/>
    <s v="Machine-714"/>
    <n v="2024"/>
    <s v="2026-02-10"/>
    <x v="0"/>
    <x v="0"/>
    <n v="8.8000000000000007"/>
    <n v="24326"/>
    <x v="1"/>
    <s v="Critical"/>
    <s v="Completed"/>
    <x v="1"/>
    <s v="None"/>
    <n v="3.2"/>
    <x v="0"/>
  </r>
  <r>
    <s v="AST1715"/>
    <x v="2"/>
    <x v="3"/>
    <x v="1"/>
    <s v="Machine-715"/>
    <n v="2025"/>
    <s v="2026-02-19"/>
    <x v="0"/>
    <x v="5"/>
    <n v="15.7"/>
    <n v="5047"/>
    <x v="5"/>
    <s v="High"/>
    <s v="In Progress"/>
    <x v="1"/>
    <s v="Motor"/>
    <n v="6"/>
    <x v="11"/>
  </r>
  <r>
    <s v="AST1716"/>
    <x v="3"/>
    <x v="0"/>
    <x v="0"/>
    <s v="Machine-716"/>
    <n v="2021"/>
    <s v="2026-06-28"/>
    <x v="0"/>
    <x v="0"/>
    <n v="3.9"/>
    <n v="44179"/>
    <x v="0"/>
    <s v="High"/>
    <s v="Pending"/>
    <x v="1"/>
    <s v="Bearing"/>
    <n v="6.9"/>
    <x v="8"/>
  </r>
  <r>
    <s v="AST1717"/>
    <x v="3"/>
    <x v="2"/>
    <x v="1"/>
    <s v="Machine-717"/>
    <n v="2016"/>
    <s v="2026-04-07"/>
    <x v="0"/>
    <x v="4"/>
    <n v="3.6"/>
    <n v="4938"/>
    <x v="0"/>
    <s v="High"/>
    <s v="Pending"/>
    <x v="2"/>
    <s v="Motor"/>
    <n v="6.5"/>
    <x v="6"/>
  </r>
  <r>
    <s v="AST1718"/>
    <x v="0"/>
    <x v="4"/>
    <x v="0"/>
    <s v="Machine-718"/>
    <n v="2020"/>
    <s v="2026-03-04"/>
    <x v="0"/>
    <x v="2"/>
    <n v="12.5"/>
    <n v="12804"/>
    <x v="5"/>
    <s v="Critical"/>
    <s v="Pending"/>
    <x v="1"/>
    <s v="None"/>
    <n v="1.4"/>
    <x v="3"/>
  </r>
  <r>
    <s v="AST1719"/>
    <x v="3"/>
    <x v="0"/>
    <x v="3"/>
    <s v="Machine-719"/>
    <n v="2021"/>
    <s v="2026-07-29"/>
    <x v="1"/>
    <x v="2"/>
    <n v="0.7"/>
    <n v="9143"/>
    <x v="0"/>
    <s v="Low"/>
    <s v="In Progress"/>
    <x v="1"/>
    <s v="None"/>
    <n v="9.1"/>
    <x v="8"/>
  </r>
  <r>
    <s v="AST1720"/>
    <x v="2"/>
    <x v="1"/>
    <x v="6"/>
    <s v="Machine-720"/>
    <n v="2017"/>
    <s v="2026-01-06"/>
    <x v="0"/>
    <x v="0"/>
    <n v="13.5"/>
    <n v="40354"/>
    <x v="4"/>
    <s v="Critical"/>
    <s v="In Progress"/>
    <x v="1"/>
    <s v="None"/>
    <n v="4.5999999999999996"/>
    <x v="7"/>
  </r>
  <r>
    <s v="AST1721"/>
    <x v="0"/>
    <x v="0"/>
    <x v="1"/>
    <s v="Machine-721"/>
    <n v="2023"/>
    <s v="2026-02-02"/>
    <x v="1"/>
    <x v="5"/>
    <n v="3.7"/>
    <n v="2794"/>
    <x v="1"/>
    <s v="Critical"/>
    <s v="Completed"/>
    <x v="1"/>
    <s v="Belt"/>
    <n v="5.6"/>
    <x v="4"/>
  </r>
  <r>
    <s v="AST1722"/>
    <x v="1"/>
    <x v="4"/>
    <x v="0"/>
    <s v="Machine-722"/>
    <n v="2024"/>
    <s v="2026-02-01"/>
    <x v="2"/>
    <x v="0"/>
    <n v="3.6"/>
    <n v="37854"/>
    <x v="1"/>
    <s v="High"/>
    <s v="Completed"/>
    <x v="0"/>
    <s v="Motor"/>
    <n v="6"/>
    <x v="0"/>
  </r>
  <r>
    <s v="AST1723"/>
    <x v="0"/>
    <x v="1"/>
    <x v="4"/>
    <s v="Machine-723"/>
    <n v="2024"/>
    <s v="2026-02-11"/>
    <x v="2"/>
    <x v="1"/>
    <n v="2"/>
    <n v="9673"/>
    <x v="2"/>
    <s v="High"/>
    <s v="In Progress"/>
    <x v="1"/>
    <s v="Motor"/>
    <n v="4.5"/>
    <x v="0"/>
  </r>
  <r>
    <s v="AST1724"/>
    <x v="1"/>
    <x v="0"/>
    <x v="1"/>
    <s v="Machine-724"/>
    <n v="2024"/>
    <s v="2026-01-01"/>
    <x v="2"/>
    <x v="5"/>
    <n v="16.3"/>
    <n v="20728"/>
    <x v="5"/>
    <s v="Critical"/>
    <s v="Completed"/>
    <x v="1"/>
    <s v="Valve"/>
    <n v="7.1"/>
    <x v="0"/>
  </r>
  <r>
    <s v="AST1725"/>
    <x v="2"/>
    <x v="1"/>
    <x v="6"/>
    <s v="Machine-725"/>
    <n v="2022"/>
    <s v="2026-04-01"/>
    <x v="0"/>
    <x v="1"/>
    <n v="12.1"/>
    <n v="4431"/>
    <x v="4"/>
    <s v="Low"/>
    <s v="Completed"/>
    <x v="0"/>
    <s v="Sensor"/>
    <n v="8.6"/>
    <x v="1"/>
  </r>
  <r>
    <s v="AST1726"/>
    <x v="2"/>
    <x v="1"/>
    <x v="0"/>
    <s v="Machine-726"/>
    <n v="2017"/>
    <s v="2026-02-04"/>
    <x v="1"/>
    <x v="2"/>
    <n v="2.7"/>
    <n v="42283"/>
    <x v="1"/>
    <s v="Low"/>
    <s v="Pending"/>
    <x v="2"/>
    <s v="Sensor"/>
    <n v="4.0999999999999996"/>
    <x v="7"/>
  </r>
  <r>
    <s v="AST1727"/>
    <x v="3"/>
    <x v="4"/>
    <x v="4"/>
    <s v="Machine-727"/>
    <n v="2016"/>
    <s v="2026-04-13"/>
    <x v="1"/>
    <x v="0"/>
    <n v="3"/>
    <n v="14853"/>
    <x v="0"/>
    <s v="High"/>
    <s v="Pending"/>
    <x v="1"/>
    <s v="None"/>
    <n v="2.2999999999999998"/>
    <x v="6"/>
  </r>
  <r>
    <s v="AST1728"/>
    <x v="2"/>
    <x v="1"/>
    <x v="0"/>
    <s v="Machine-728"/>
    <n v="2019"/>
    <s v="2026-05-25"/>
    <x v="0"/>
    <x v="3"/>
    <n v="6"/>
    <n v="29918"/>
    <x v="1"/>
    <s v="Low"/>
    <s v="Pending"/>
    <x v="0"/>
    <s v="Bearing"/>
    <n v="3.1"/>
    <x v="5"/>
  </r>
  <r>
    <s v="AST1729"/>
    <x v="2"/>
    <x v="3"/>
    <x v="1"/>
    <s v="Machine-729"/>
    <n v="2022"/>
    <s v="2026-01-29"/>
    <x v="0"/>
    <x v="1"/>
    <n v="6.8"/>
    <n v="23357"/>
    <x v="3"/>
    <s v="Medium"/>
    <s v="Completed"/>
    <x v="2"/>
    <s v="Bearing"/>
    <n v="1.4"/>
    <x v="1"/>
  </r>
  <r>
    <s v="AST1730"/>
    <x v="0"/>
    <x v="4"/>
    <x v="0"/>
    <s v="Machine-730"/>
    <n v="2017"/>
    <s v="2026-04-07"/>
    <x v="1"/>
    <x v="2"/>
    <n v="10.8"/>
    <n v="33587"/>
    <x v="0"/>
    <s v="High"/>
    <s v="Pending"/>
    <x v="1"/>
    <s v="Sensor"/>
    <n v="5.7"/>
    <x v="7"/>
  </r>
  <r>
    <s v="AST1731"/>
    <x v="0"/>
    <x v="2"/>
    <x v="4"/>
    <s v="Machine-731"/>
    <n v="2023"/>
    <s v="2026-01-26"/>
    <x v="2"/>
    <x v="4"/>
    <n v="3.7"/>
    <n v="36344"/>
    <x v="2"/>
    <s v="Critical"/>
    <s v="In Progress"/>
    <x v="1"/>
    <s v="Motor"/>
    <n v="3"/>
    <x v="4"/>
  </r>
  <r>
    <s v="AST1732"/>
    <x v="1"/>
    <x v="2"/>
    <x v="0"/>
    <s v="Machine-732"/>
    <n v="2024"/>
    <s v="2026-05-12"/>
    <x v="0"/>
    <x v="0"/>
    <n v="5.2"/>
    <n v="43390"/>
    <x v="3"/>
    <s v="Medium"/>
    <s v="Pending"/>
    <x v="1"/>
    <s v="Valve"/>
    <n v="7.2"/>
    <x v="0"/>
  </r>
  <r>
    <s v="AST1733"/>
    <x v="4"/>
    <x v="3"/>
    <x v="6"/>
    <s v="Machine-733"/>
    <n v="2016"/>
    <s v="2026-04-23"/>
    <x v="0"/>
    <x v="4"/>
    <n v="9.6"/>
    <n v="16492"/>
    <x v="3"/>
    <s v="Low"/>
    <s v="In Progress"/>
    <x v="2"/>
    <s v="Sensor"/>
    <n v="8.5"/>
    <x v="6"/>
  </r>
  <r>
    <s v="AST1734"/>
    <x v="0"/>
    <x v="2"/>
    <x v="1"/>
    <s v="Machine-734"/>
    <n v="2024"/>
    <s v="2026-01-21"/>
    <x v="0"/>
    <x v="1"/>
    <n v="2"/>
    <n v="20233"/>
    <x v="2"/>
    <s v="Critical"/>
    <s v="Completed"/>
    <x v="2"/>
    <s v="None"/>
    <n v="5.3"/>
    <x v="0"/>
  </r>
  <r>
    <s v="AST1735"/>
    <x v="3"/>
    <x v="3"/>
    <x v="6"/>
    <s v="Machine-735"/>
    <n v="2025"/>
    <s v="2026-02-04"/>
    <x v="1"/>
    <x v="0"/>
    <n v="16"/>
    <n v="9671"/>
    <x v="1"/>
    <s v="Low"/>
    <s v="Pending"/>
    <x v="0"/>
    <s v="None"/>
    <n v="0.6"/>
    <x v="11"/>
  </r>
  <r>
    <s v="AST1736"/>
    <x v="2"/>
    <x v="0"/>
    <x v="0"/>
    <s v="Machine-736"/>
    <n v="2020"/>
    <s v="2026-06-29"/>
    <x v="2"/>
    <x v="0"/>
    <n v="17.100000000000001"/>
    <n v="36110"/>
    <x v="5"/>
    <s v="Low"/>
    <s v="Pending"/>
    <x v="2"/>
    <s v="Motor"/>
    <n v="6.9"/>
    <x v="3"/>
  </r>
  <r>
    <s v="AST1737"/>
    <x v="1"/>
    <x v="4"/>
    <x v="4"/>
    <s v="Machine-737"/>
    <n v="2022"/>
    <s v="2026-02-27"/>
    <x v="1"/>
    <x v="5"/>
    <n v="6.7"/>
    <n v="4836"/>
    <x v="1"/>
    <s v="Critical"/>
    <s v="In Progress"/>
    <x v="0"/>
    <s v="Sensor"/>
    <n v="9.6999999999999993"/>
    <x v="1"/>
  </r>
  <r>
    <s v="AST1738"/>
    <x v="1"/>
    <x v="1"/>
    <x v="2"/>
    <s v="Machine-738"/>
    <n v="2019"/>
    <s v="2026-06-23"/>
    <x v="1"/>
    <x v="1"/>
    <n v="5.6"/>
    <n v="33162"/>
    <x v="3"/>
    <s v="High"/>
    <s v="Completed"/>
    <x v="0"/>
    <s v="None"/>
    <n v="6.5"/>
    <x v="5"/>
  </r>
  <r>
    <s v="AST1739"/>
    <x v="4"/>
    <x v="1"/>
    <x v="2"/>
    <s v="Machine-739"/>
    <n v="2020"/>
    <s v="2026-02-25"/>
    <x v="2"/>
    <x v="4"/>
    <n v="16.100000000000001"/>
    <n v="33499"/>
    <x v="0"/>
    <s v="High"/>
    <s v="Completed"/>
    <x v="1"/>
    <s v="Valve"/>
    <n v="3.6"/>
    <x v="3"/>
  </r>
  <r>
    <s v="AST1740"/>
    <x v="0"/>
    <x v="0"/>
    <x v="3"/>
    <s v="Machine-740"/>
    <n v="2019"/>
    <s v="2026-01-28"/>
    <x v="0"/>
    <x v="2"/>
    <n v="0.7"/>
    <n v="29733"/>
    <x v="1"/>
    <s v="Medium"/>
    <s v="Completed"/>
    <x v="1"/>
    <s v="Belt"/>
    <n v="9"/>
    <x v="5"/>
  </r>
  <r>
    <s v="AST1741"/>
    <x v="3"/>
    <x v="4"/>
    <x v="0"/>
    <s v="Machine-741"/>
    <n v="2020"/>
    <s v="2026-02-01"/>
    <x v="1"/>
    <x v="2"/>
    <n v="4.5"/>
    <n v="27410"/>
    <x v="3"/>
    <s v="High"/>
    <s v="In Progress"/>
    <x v="2"/>
    <s v="Motor"/>
    <n v="5.6"/>
    <x v="3"/>
  </r>
  <r>
    <s v="AST1742"/>
    <x v="3"/>
    <x v="3"/>
    <x v="0"/>
    <s v="Machine-742"/>
    <n v="2018"/>
    <s v="2026-01-28"/>
    <x v="0"/>
    <x v="0"/>
    <n v="8.1"/>
    <n v="25042"/>
    <x v="5"/>
    <s v="Medium"/>
    <s v="Completed"/>
    <x v="0"/>
    <s v="Sensor"/>
    <n v="0.9"/>
    <x v="2"/>
  </r>
  <r>
    <s v="AST1743"/>
    <x v="4"/>
    <x v="4"/>
    <x v="0"/>
    <s v="Machine-743"/>
    <n v="2020"/>
    <s v="2026-04-18"/>
    <x v="1"/>
    <x v="4"/>
    <n v="17.3"/>
    <n v="18919"/>
    <x v="0"/>
    <s v="Critical"/>
    <s v="In Progress"/>
    <x v="1"/>
    <s v="Valve"/>
    <n v="8.1"/>
    <x v="3"/>
  </r>
  <r>
    <s v="AST1744"/>
    <x v="4"/>
    <x v="3"/>
    <x v="6"/>
    <s v="Machine-744"/>
    <n v="2025"/>
    <s v="2026-02-02"/>
    <x v="1"/>
    <x v="0"/>
    <n v="15.3"/>
    <n v="26983"/>
    <x v="4"/>
    <s v="Low"/>
    <s v="Completed"/>
    <x v="0"/>
    <s v="Motor"/>
    <n v="2"/>
    <x v="11"/>
  </r>
  <r>
    <s v="AST1745"/>
    <x v="1"/>
    <x v="4"/>
    <x v="3"/>
    <s v="Machine-745"/>
    <n v="2022"/>
    <s v="2026-01-04"/>
    <x v="1"/>
    <x v="4"/>
    <n v="17.600000000000001"/>
    <n v="2026"/>
    <x v="1"/>
    <s v="Critical"/>
    <s v="In Progress"/>
    <x v="2"/>
    <s v="Valve"/>
    <n v="1.3"/>
    <x v="1"/>
  </r>
  <r>
    <s v="AST1746"/>
    <x v="2"/>
    <x v="2"/>
    <x v="3"/>
    <s v="Machine-746"/>
    <n v="2020"/>
    <s v="2026-03-05"/>
    <x v="1"/>
    <x v="3"/>
    <n v="5.4"/>
    <n v="9037"/>
    <x v="3"/>
    <s v="Medium"/>
    <s v="Pending"/>
    <x v="2"/>
    <s v="Motor"/>
    <n v="5"/>
    <x v="3"/>
  </r>
  <r>
    <s v="AST1747"/>
    <x v="2"/>
    <x v="1"/>
    <x v="0"/>
    <s v="Machine-747"/>
    <n v="2015"/>
    <s v="2026-06-29"/>
    <x v="0"/>
    <x v="5"/>
    <n v="11.5"/>
    <n v="11246"/>
    <x v="4"/>
    <s v="Low"/>
    <s v="Completed"/>
    <x v="2"/>
    <s v="Bearing"/>
    <n v="3.1"/>
    <x v="10"/>
  </r>
  <r>
    <s v="AST1748"/>
    <x v="3"/>
    <x v="4"/>
    <x v="6"/>
    <s v="Machine-748"/>
    <n v="2017"/>
    <s v="2026-02-07"/>
    <x v="0"/>
    <x v="1"/>
    <n v="7.2"/>
    <n v="35904"/>
    <x v="3"/>
    <s v="Medium"/>
    <s v="Completed"/>
    <x v="2"/>
    <s v="Valve"/>
    <n v="5.0999999999999996"/>
    <x v="7"/>
  </r>
  <r>
    <s v="AST1749"/>
    <x v="0"/>
    <x v="0"/>
    <x v="1"/>
    <s v="Machine-749"/>
    <n v="2022"/>
    <s v="2026-04-20"/>
    <x v="0"/>
    <x v="2"/>
    <n v="17"/>
    <n v="28898"/>
    <x v="4"/>
    <s v="High"/>
    <s v="Completed"/>
    <x v="0"/>
    <s v="Bearing"/>
    <n v="0.5"/>
    <x v="1"/>
  </r>
  <r>
    <s v="AST1750"/>
    <x v="4"/>
    <x v="2"/>
    <x v="4"/>
    <s v="Machine-750"/>
    <n v="2024"/>
    <s v="2026-07-10"/>
    <x v="0"/>
    <x v="5"/>
    <n v="2.2999999999999998"/>
    <n v="13613"/>
    <x v="3"/>
    <s v="Critical"/>
    <s v="In Progress"/>
    <x v="2"/>
    <s v="Sensor"/>
    <n v="1.6"/>
    <x v="0"/>
  </r>
  <r>
    <s v="AST1751"/>
    <x v="2"/>
    <x v="2"/>
    <x v="4"/>
    <s v="Machine-751"/>
    <n v="2024"/>
    <s v="2026-01-04"/>
    <x v="0"/>
    <x v="2"/>
    <n v="13.5"/>
    <n v="40094"/>
    <x v="2"/>
    <s v="High"/>
    <s v="Completed"/>
    <x v="1"/>
    <s v="Sensor"/>
    <n v="2.5"/>
    <x v="0"/>
  </r>
  <r>
    <s v="AST1752"/>
    <x v="0"/>
    <x v="2"/>
    <x v="3"/>
    <s v="Machine-752"/>
    <n v="2020"/>
    <s v="2026-01-23"/>
    <x v="1"/>
    <x v="1"/>
    <n v="1.2"/>
    <n v="44383"/>
    <x v="4"/>
    <s v="Medium"/>
    <s v="Pending"/>
    <x v="2"/>
    <s v="Bearing"/>
    <n v="1.2"/>
    <x v="3"/>
  </r>
  <r>
    <s v="AST1753"/>
    <x v="4"/>
    <x v="0"/>
    <x v="3"/>
    <s v="Machine-753"/>
    <n v="2022"/>
    <s v="2026-06-08"/>
    <x v="0"/>
    <x v="3"/>
    <n v="9.8000000000000007"/>
    <n v="11571"/>
    <x v="0"/>
    <s v="Medium"/>
    <s v="Completed"/>
    <x v="2"/>
    <s v="Belt"/>
    <n v="7.3"/>
    <x v="1"/>
  </r>
  <r>
    <s v="AST1754"/>
    <x v="4"/>
    <x v="3"/>
    <x v="3"/>
    <s v="Machine-754"/>
    <n v="2022"/>
    <s v="2026-03-30"/>
    <x v="1"/>
    <x v="4"/>
    <n v="1.7"/>
    <n v="28959"/>
    <x v="2"/>
    <s v="Low"/>
    <s v="Completed"/>
    <x v="1"/>
    <s v="Sensor"/>
    <n v="7.1"/>
    <x v="1"/>
  </r>
  <r>
    <s v="AST1755"/>
    <x v="0"/>
    <x v="1"/>
    <x v="1"/>
    <s v="Machine-755"/>
    <n v="2016"/>
    <s v="2026-03-16"/>
    <x v="1"/>
    <x v="0"/>
    <n v="3.8"/>
    <n v="27550"/>
    <x v="1"/>
    <s v="Low"/>
    <s v="Completed"/>
    <x v="2"/>
    <s v="Belt"/>
    <n v="4.0999999999999996"/>
    <x v="6"/>
  </r>
  <r>
    <s v="AST1756"/>
    <x v="2"/>
    <x v="0"/>
    <x v="0"/>
    <s v="Machine-756"/>
    <n v="2020"/>
    <s v="2026-04-13"/>
    <x v="0"/>
    <x v="3"/>
    <n v="10.5"/>
    <n v="40304"/>
    <x v="5"/>
    <s v="Low"/>
    <s v="Pending"/>
    <x v="2"/>
    <s v="Belt"/>
    <n v="7.2"/>
    <x v="3"/>
  </r>
  <r>
    <s v="AST1757"/>
    <x v="4"/>
    <x v="2"/>
    <x v="4"/>
    <s v="Machine-757"/>
    <n v="2022"/>
    <s v="2026-03-08"/>
    <x v="1"/>
    <x v="5"/>
    <n v="2.6"/>
    <n v="16175"/>
    <x v="0"/>
    <s v="Medium"/>
    <s v="In Progress"/>
    <x v="0"/>
    <s v="None"/>
    <n v="1.9"/>
    <x v="1"/>
  </r>
  <r>
    <s v="AST1758"/>
    <x v="4"/>
    <x v="4"/>
    <x v="3"/>
    <s v="Machine-758"/>
    <n v="2018"/>
    <s v="2026-02-04"/>
    <x v="2"/>
    <x v="3"/>
    <n v="9.9"/>
    <n v="1591"/>
    <x v="5"/>
    <s v="High"/>
    <s v="Pending"/>
    <x v="1"/>
    <s v="Sensor"/>
    <n v="3.6"/>
    <x v="2"/>
  </r>
  <r>
    <s v="AST1759"/>
    <x v="4"/>
    <x v="2"/>
    <x v="5"/>
    <s v="Machine-759"/>
    <n v="2025"/>
    <s v="2026-05-21"/>
    <x v="2"/>
    <x v="2"/>
    <n v="6.2"/>
    <n v="5252"/>
    <x v="5"/>
    <s v="Low"/>
    <s v="In Progress"/>
    <x v="0"/>
    <s v="None"/>
    <n v="9.6999999999999993"/>
    <x v="11"/>
  </r>
  <r>
    <s v="AST1760"/>
    <x v="0"/>
    <x v="1"/>
    <x v="3"/>
    <s v="Machine-760"/>
    <n v="2016"/>
    <s v="2026-03-07"/>
    <x v="2"/>
    <x v="5"/>
    <n v="2.4"/>
    <n v="26533"/>
    <x v="5"/>
    <s v="High"/>
    <s v="Pending"/>
    <x v="1"/>
    <s v="Belt"/>
    <n v="5.7"/>
    <x v="6"/>
  </r>
  <r>
    <s v="AST1761"/>
    <x v="4"/>
    <x v="0"/>
    <x v="0"/>
    <s v="Machine-761"/>
    <n v="2021"/>
    <s v="2026-02-26"/>
    <x v="1"/>
    <x v="4"/>
    <n v="3.2"/>
    <n v="16686"/>
    <x v="5"/>
    <s v="Critical"/>
    <s v="In Progress"/>
    <x v="0"/>
    <s v="Valve"/>
    <n v="1.4"/>
    <x v="8"/>
  </r>
  <r>
    <s v="AST1762"/>
    <x v="1"/>
    <x v="2"/>
    <x v="0"/>
    <s v="Machine-762"/>
    <n v="2016"/>
    <s v="2026-04-28"/>
    <x v="1"/>
    <x v="0"/>
    <n v="3.7"/>
    <n v="19984"/>
    <x v="0"/>
    <s v="High"/>
    <s v="Completed"/>
    <x v="0"/>
    <s v="Valve"/>
    <n v="7"/>
    <x v="6"/>
  </r>
  <r>
    <s v="AST1763"/>
    <x v="1"/>
    <x v="4"/>
    <x v="5"/>
    <s v="Machine-763"/>
    <n v="2017"/>
    <s v="2026-01-18"/>
    <x v="0"/>
    <x v="0"/>
    <n v="17.5"/>
    <n v="8068"/>
    <x v="5"/>
    <s v="Medium"/>
    <s v="Pending"/>
    <x v="0"/>
    <s v="Belt"/>
    <n v="1.4"/>
    <x v="7"/>
  </r>
  <r>
    <s v="AST1764"/>
    <x v="0"/>
    <x v="4"/>
    <x v="2"/>
    <s v="Machine-764"/>
    <n v="2020"/>
    <s v="2026-01-06"/>
    <x v="1"/>
    <x v="1"/>
    <n v="2.8"/>
    <n v="6978"/>
    <x v="3"/>
    <s v="Medium"/>
    <s v="Pending"/>
    <x v="1"/>
    <s v="Bearing"/>
    <n v="8"/>
    <x v="3"/>
  </r>
  <r>
    <s v="AST1765"/>
    <x v="0"/>
    <x v="1"/>
    <x v="3"/>
    <s v="Machine-765"/>
    <n v="2014"/>
    <s v="2026-07-22"/>
    <x v="1"/>
    <x v="0"/>
    <n v="2"/>
    <n v="10624"/>
    <x v="1"/>
    <s v="Critical"/>
    <s v="Completed"/>
    <x v="2"/>
    <s v="Sensor"/>
    <n v="5"/>
    <x v="9"/>
  </r>
  <r>
    <s v="AST1766"/>
    <x v="2"/>
    <x v="0"/>
    <x v="3"/>
    <s v="Machine-766"/>
    <n v="2017"/>
    <s v="2026-01-15"/>
    <x v="1"/>
    <x v="1"/>
    <n v="14.9"/>
    <n v="8238"/>
    <x v="2"/>
    <s v="High"/>
    <s v="Completed"/>
    <x v="1"/>
    <s v="Valve"/>
    <n v="1.8"/>
    <x v="7"/>
  </r>
  <r>
    <s v="AST1767"/>
    <x v="1"/>
    <x v="3"/>
    <x v="5"/>
    <s v="Machine-767"/>
    <n v="2017"/>
    <s v="2026-01-07"/>
    <x v="0"/>
    <x v="0"/>
    <n v="5.5"/>
    <n v="26714"/>
    <x v="5"/>
    <s v="Low"/>
    <s v="In Progress"/>
    <x v="0"/>
    <s v="Bearing"/>
    <n v="2.6"/>
    <x v="7"/>
  </r>
  <r>
    <s v="AST1768"/>
    <x v="0"/>
    <x v="1"/>
    <x v="4"/>
    <s v="Machine-768"/>
    <n v="2018"/>
    <s v="2026-04-02"/>
    <x v="0"/>
    <x v="1"/>
    <n v="16.2"/>
    <n v="41116"/>
    <x v="4"/>
    <s v="Medium"/>
    <s v="In Progress"/>
    <x v="1"/>
    <s v="Sensor"/>
    <n v="6.2"/>
    <x v="2"/>
  </r>
  <r>
    <s v="AST1769"/>
    <x v="1"/>
    <x v="0"/>
    <x v="6"/>
    <s v="Machine-769"/>
    <n v="2024"/>
    <s v="2026-04-19"/>
    <x v="1"/>
    <x v="2"/>
    <n v="15.8"/>
    <n v="19266"/>
    <x v="1"/>
    <s v="High"/>
    <s v="In Progress"/>
    <x v="1"/>
    <s v="Bearing"/>
    <n v="8"/>
    <x v="0"/>
  </r>
  <r>
    <s v="AST1770"/>
    <x v="1"/>
    <x v="0"/>
    <x v="0"/>
    <s v="Machine-770"/>
    <n v="2016"/>
    <s v="2026-07-19"/>
    <x v="0"/>
    <x v="0"/>
    <n v="14.4"/>
    <n v="32854"/>
    <x v="0"/>
    <s v="Low"/>
    <s v="Pending"/>
    <x v="2"/>
    <s v="None"/>
    <n v="3.1"/>
    <x v="6"/>
  </r>
  <r>
    <s v="AST1771"/>
    <x v="1"/>
    <x v="2"/>
    <x v="2"/>
    <s v="Machine-771"/>
    <n v="2015"/>
    <s v="2026-03-24"/>
    <x v="0"/>
    <x v="2"/>
    <n v="9.1"/>
    <n v="33041"/>
    <x v="5"/>
    <s v="Critical"/>
    <s v="Pending"/>
    <x v="1"/>
    <s v="Sensor"/>
    <n v="1.8"/>
    <x v="10"/>
  </r>
  <r>
    <s v="AST1772"/>
    <x v="3"/>
    <x v="3"/>
    <x v="6"/>
    <s v="Machine-772"/>
    <n v="2024"/>
    <s v="2026-03-04"/>
    <x v="0"/>
    <x v="5"/>
    <n v="9.1"/>
    <n v="36641"/>
    <x v="4"/>
    <s v="Critical"/>
    <s v="Completed"/>
    <x v="1"/>
    <s v="None"/>
    <n v="4.5"/>
    <x v="0"/>
  </r>
  <r>
    <s v="AST1773"/>
    <x v="1"/>
    <x v="4"/>
    <x v="0"/>
    <s v="Machine-773"/>
    <n v="2023"/>
    <s v="2026-07-18"/>
    <x v="0"/>
    <x v="3"/>
    <n v="17.899999999999999"/>
    <n v="2624"/>
    <x v="3"/>
    <s v="Critical"/>
    <s v="Completed"/>
    <x v="0"/>
    <s v="Bearing"/>
    <n v="9.1999999999999993"/>
    <x v="4"/>
  </r>
  <r>
    <s v="AST1774"/>
    <x v="1"/>
    <x v="0"/>
    <x v="5"/>
    <s v="Machine-774"/>
    <n v="2019"/>
    <s v="2026-07-19"/>
    <x v="0"/>
    <x v="5"/>
    <n v="17.5"/>
    <n v="29095"/>
    <x v="4"/>
    <s v="Medium"/>
    <s v="Completed"/>
    <x v="0"/>
    <s v="None"/>
    <n v="1.8"/>
    <x v="5"/>
  </r>
  <r>
    <s v="AST1775"/>
    <x v="1"/>
    <x v="3"/>
    <x v="3"/>
    <s v="Machine-775"/>
    <n v="2025"/>
    <s v="2026-06-30"/>
    <x v="0"/>
    <x v="4"/>
    <n v="7"/>
    <n v="8447"/>
    <x v="5"/>
    <s v="Low"/>
    <s v="In Progress"/>
    <x v="1"/>
    <s v="Motor"/>
    <n v="0.8"/>
    <x v="11"/>
  </r>
  <r>
    <s v="AST1776"/>
    <x v="0"/>
    <x v="2"/>
    <x v="1"/>
    <s v="Machine-776"/>
    <n v="2019"/>
    <s v="2026-02-06"/>
    <x v="0"/>
    <x v="4"/>
    <n v="3.1"/>
    <n v="13455"/>
    <x v="1"/>
    <s v="Medium"/>
    <s v="Pending"/>
    <x v="1"/>
    <s v="None"/>
    <n v="9.5"/>
    <x v="5"/>
  </r>
  <r>
    <s v="AST1777"/>
    <x v="4"/>
    <x v="3"/>
    <x v="2"/>
    <s v="Machine-777"/>
    <n v="2021"/>
    <s v="2026-04-16"/>
    <x v="1"/>
    <x v="1"/>
    <n v="5.5"/>
    <n v="11716"/>
    <x v="0"/>
    <s v="Low"/>
    <s v="Pending"/>
    <x v="0"/>
    <s v="Belt"/>
    <n v="2"/>
    <x v="8"/>
  </r>
  <r>
    <s v="AST1778"/>
    <x v="3"/>
    <x v="1"/>
    <x v="3"/>
    <s v="Machine-778"/>
    <n v="2020"/>
    <s v="2026-04-19"/>
    <x v="1"/>
    <x v="5"/>
    <n v="9.3000000000000007"/>
    <n v="16397"/>
    <x v="1"/>
    <s v="Medium"/>
    <s v="In Progress"/>
    <x v="0"/>
    <s v="Belt"/>
    <n v="4.0999999999999996"/>
    <x v="3"/>
  </r>
  <r>
    <s v="AST1779"/>
    <x v="1"/>
    <x v="3"/>
    <x v="6"/>
    <s v="Machine-779"/>
    <n v="2016"/>
    <s v="2026-07-10"/>
    <x v="0"/>
    <x v="4"/>
    <n v="3.7"/>
    <n v="38153"/>
    <x v="2"/>
    <s v="Low"/>
    <s v="Pending"/>
    <x v="2"/>
    <s v="Valve"/>
    <n v="3.5"/>
    <x v="6"/>
  </r>
  <r>
    <s v="AST1780"/>
    <x v="3"/>
    <x v="2"/>
    <x v="1"/>
    <s v="Machine-780"/>
    <n v="2024"/>
    <s v="2026-04-14"/>
    <x v="1"/>
    <x v="0"/>
    <n v="7.9"/>
    <n v="19189"/>
    <x v="0"/>
    <s v="Low"/>
    <s v="Completed"/>
    <x v="2"/>
    <s v="Belt"/>
    <n v="7.9"/>
    <x v="0"/>
  </r>
  <r>
    <s v="AST1781"/>
    <x v="1"/>
    <x v="0"/>
    <x v="0"/>
    <s v="Machine-781"/>
    <n v="2019"/>
    <s v="2026-01-08"/>
    <x v="1"/>
    <x v="1"/>
    <n v="4.2"/>
    <n v="2219"/>
    <x v="3"/>
    <s v="Medium"/>
    <s v="Pending"/>
    <x v="0"/>
    <s v="None"/>
    <n v="9.3000000000000007"/>
    <x v="5"/>
  </r>
  <r>
    <s v="AST1782"/>
    <x v="0"/>
    <x v="1"/>
    <x v="6"/>
    <s v="Machine-782"/>
    <n v="2017"/>
    <s v="2026-03-10"/>
    <x v="0"/>
    <x v="4"/>
    <n v="1.3"/>
    <n v="22116"/>
    <x v="0"/>
    <s v="High"/>
    <s v="Completed"/>
    <x v="2"/>
    <s v="Sensor"/>
    <n v="9.6"/>
    <x v="7"/>
  </r>
  <r>
    <s v="AST1783"/>
    <x v="4"/>
    <x v="3"/>
    <x v="3"/>
    <s v="Machine-783"/>
    <n v="2022"/>
    <s v="2026-02-19"/>
    <x v="0"/>
    <x v="3"/>
    <n v="12.8"/>
    <n v="7881"/>
    <x v="3"/>
    <s v="Critical"/>
    <s v="Pending"/>
    <x v="1"/>
    <s v="Bearing"/>
    <n v="5.3"/>
    <x v="1"/>
  </r>
  <r>
    <s v="AST1784"/>
    <x v="2"/>
    <x v="3"/>
    <x v="5"/>
    <s v="Machine-784"/>
    <n v="2016"/>
    <s v="2026-01-07"/>
    <x v="1"/>
    <x v="1"/>
    <n v="5.6"/>
    <n v="11431"/>
    <x v="5"/>
    <s v="Critical"/>
    <s v="Completed"/>
    <x v="1"/>
    <s v="Bearing"/>
    <n v="9.6"/>
    <x v="6"/>
  </r>
  <r>
    <s v="AST1785"/>
    <x v="1"/>
    <x v="2"/>
    <x v="6"/>
    <s v="Machine-785"/>
    <n v="2017"/>
    <s v="2026-02-25"/>
    <x v="1"/>
    <x v="0"/>
    <n v="11.2"/>
    <n v="35794"/>
    <x v="3"/>
    <s v="Critical"/>
    <s v="Completed"/>
    <x v="2"/>
    <s v="Sensor"/>
    <n v="3.9"/>
    <x v="7"/>
  </r>
  <r>
    <s v="AST1786"/>
    <x v="3"/>
    <x v="2"/>
    <x v="0"/>
    <s v="Machine-786"/>
    <n v="2020"/>
    <s v="2026-01-11"/>
    <x v="2"/>
    <x v="5"/>
    <n v="1.8"/>
    <n v="11487"/>
    <x v="2"/>
    <s v="Critical"/>
    <s v="Completed"/>
    <x v="0"/>
    <s v="Motor"/>
    <n v="7.8"/>
    <x v="3"/>
  </r>
  <r>
    <s v="AST1787"/>
    <x v="0"/>
    <x v="3"/>
    <x v="1"/>
    <s v="Machine-787"/>
    <n v="2018"/>
    <s v="2026-05-21"/>
    <x v="0"/>
    <x v="3"/>
    <n v="16.8"/>
    <n v="12082"/>
    <x v="0"/>
    <s v="High"/>
    <s v="Pending"/>
    <x v="2"/>
    <s v="Sensor"/>
    <n v="1.3"/>
    <x v="2"/>
  </r>
  <r>
    <s v="AST1788"/>
    <x v="3"/>
    <x v="0"/>
    <x v="5"/>
    <s v="Machine-788"/>
    <n v="2016"/>
    <s v="2026-07-01"/>
    <x v="2"/>
    <x v="4"/>
    <n v="11.9"/>
    <n v="10704"/>
    <x v="0"/>
    <s v="Critical"/>
    <s v="Completed"/>
    <x v="2"/>
    <s v="Sensor"/>
    <n v="4.3"/>
    <x v="6"/>
  </r>
  <r>
    <s v="AST1789"/>
    <x v="1"/>
    <x v="3"/>
    <x v="4"/>
    <s v="Machine-789"/>
    <n v="2023"/>
    <s v="2026-06-24"/>
    <x v="1"/>
    <x v="5"/>
    <n v="17.2"/>
    <n v="25989"/>
    <x v="0"/>
    <s v="Critical"/>
    <s v="Pending"/>
    <x v="2"/>
    <s v="Sensor"/>
    <n v="8.8000000000000007"/>
    <x v="4"/>
  </r>
  <r>
    <s v="AST1790"/>
    <x v="2"/>
    <x v="4"/>
    <x v="3"/>
    <s v="Machine-790"/>
    <n v="2024"/>
    <s v="2026-01-11"/>
    <x v="1"/>
    <x v="0"/>
    <n v="14.9"/>
    <n v="2020"/>
    <x v="4"/>
    <s v="Low"/>
    <s v="In Progress"/>
    <x v="2"/>
    <s v="Motor"/>
    <n v="5.9"/>
    <x v="0"/>
  </r>
  <r>
    <s v="AST1791"/>
    <x v="3"/>
    <x v="3"/>
    <x v="3"/>
    <s v="Machine-791"/>
    <n v="2015"/>
    <s v="2026-02-27"/>
    <x v="0"/>
    <x v="4"/>
    <n v="8.6999999999999993"/>
    <n v="36569"/>
    <x v="1"/>
    <s v="Low"/>
    <s v="Completed"/>
    <x v="0"/>
    <s v="None"/>
    <n v="1.5"/>
    <x v="10"/>
  </r>
  <r>
    <s v="AST1792"/>
    <x v="3"/>
    <x v="2"/>
    <x v="5"/>
    <s v="Machine-792"/>
    <n v="2020"/>
    <s v="2026-07-16"/>
    <x v="0"/>
    <x v="2"/>
    <n v="6.5"/>
    <n v="41107"/>
    <x v="1"/>
    <s v="Medium"/>
    <s v="Pending"/>
    <x v="1"/>
    <s v="Valve"/>
    <n v="1.6"/>
    <x v="3"/>
  </r>
  <r>
    <s v="AST1793"/>
    <x v="2"/>
    <x v="2"/>
    <x v="5"/>
    <s v="Machine-793"/>
    <n v="2021"/>
    <s v="2026-01-10"/>
    <x v="0"/>
    <x v="3"/>
    <n v="6.1"/>
    <n v="3552"/>
    <x v="2"/>
    <s v="Critical"/>
    <s v="Completed"/>
    <x v="2"/>
    <s v="Valve"/>
    <n v="9.8000000000000007"/>
    <x v="8"/>
  </r>
  <r>
    <s v="AST1794"/>
    <x v="1"/>
    <x v="4"/>
    <x v="2"/>
    <s v="Machine-794"/>
    <n v="2017"/>
    <s v="2026-01-14"/>
    <x v="1"/>
    <x v="2"/>
    <n v="4.9000000000000004"/>
    <n v="13041"/>
    <x v="0"/>
    <s v="Medium"/>
    <s v="Completed"/>
    <x v="2"/>
    <s v="Valve"/>
    <n v="1.3"/>
    <x v="7"/>
  </r>
  <r>
    <s v="AST1795"/>
    <x v="3"/>
    <x v="1"/>
    <x v="0"/>
    <s v="Machine-795"/>
    <n v="2025"/>
    <s v="2026-04-26"/>
    <x v="1"/>
    <x v="2"/>
    <n v="3.7"/>
    <n v="5022"/>
    <x v="0"/>
    <s v="Critical"/>
    <s v="In Progress"/>
    <x v="2"/>
    <s v="Motor"/>
    <n v="2.4"/>
    <x v="11"/>
  </r>
  <r>
    <s v="AST1796"/>
    <x v="3"/>
    <x v="1"/>
    <x v="3"/>
    <s v="Machine-796"/>
    <n v="2020"/>
    <s v="2026-05-04"/>
    <x v="1"/>
    <x v="0"/>
    <n v="8.1"/>
    <n v="38876"/>
    <x v="1"/>
    <s v="Low"/>
    <s v="Pending"/>
    <x v="1"/>
    <s v="Motor"/>
    <n v="1.2"/>
    <x v="3"/>
  </r>
  <r>
    <s v="AST1797"/>
    <x v="2"/>
    <x v="2"/>
    <x v="4"/>
    <s v="Machine-797"/>
    <n v="2024"/>
    <s v="2026-05-29"/>
    <x v="1"/>
    <x v="0"/>
    <n v="13.5"/>
    <n v="22243"/>
    <x v="0"/>
    <s v="Medium"/>
    <s v="In Progress"/>
    <x v="0"/>
    <s v="Valve"/>
    <n v="8.6999999999999993"/>
    <x v="0"/>
  </r>
  <r>
    <s v="AST1798"/>
    <x v="3"/>
    <x v="0"/>
    <x v="6"/>
    <s v="Machine-798"/>
    <n v="2015"/>
    <s v="2026-07-22"/>
    <x v="1"/>
    <x v="4"/>
    <n v="17"/>
    <n v="9739"/>
    <x v="5"/>
    <s v="Critical"/>
    <s v="Pending"/>
    <x v="1"/>
    <s v="Bearing"/>
    <n v="0.8"/>
    <x v="10"/>
  </r>
  <r>
    <s v="AST1799"/>
    <x v="3"/>
    <x v="1"/>
    <x v="2"/>
    <s v="Machine-799"/>
    <n v="2025"/>
    <s v="2026-02-18"/>
    <x v="0"/>
    <x v="4"/>
    <n v="4.3"/>
    <n v="15247"/>
    <x v="4"/>
    <s v="Low"/>
    <s v="In Progress"/>
    <x v="2"/>
    <s v="Bearing"/>
    <n v="3.4"/>
    <x v="11"/>
  </r>
  <r>
    <s v="AST1800"/>
    <x v="0"/>
    <x v="3"/>
    <x v="3"/>
    <s v="Machine-800"/>
    <n v="2018"/>
    <s v="2026-05-09"/>
    <x v="2"/>
    <x v="4"/>
    <n v="7.7"/>
    <n v="24582"/>
    <x v="2"/>
    <s v="Critical"/>
    <s v="Pending"/>
    <x v="2"/>
    <s v="Bearing"/>
    <n v="9.3000000000000007"/>
    <x v="2"/>
  </r>
  <r>
    <s v="AST1801"/>
    <x v="4"/>
    <x v="2"/>
    <x v="6"/>
    <s v="Machine-801"/>
    <n v="2021"/>
    <s v="2026-04-20"/>
    <x v="1"/>
    <x v="5"/>
    <n v="8.1"/>
    <n v="20179"/>
    <x v="5"/>
    <s v="Critical"/>
    <s v="Pending"/>
    <x v="2"/>
    <s v="None"/>
    <n v="6.4"/>
    <x v="8"/>
  </r>
  <r>
    <s v="AST1802"/>
    <x v="0"/>
    <x v="4"/>
    <x v="3"/>
    <s v="Machine-802"/>
    <n v="2015"/>
    <s v="2026-01-23"/>
    <x v="0"/>
    <x v="4"/>
    <n v="2.2999999999999998"/>
    <n v="42383"/>
    <x v="2"/>
    <s v="Low"/>
    <s v="Pending"/>
    <x v="2"/>
    <s v="Belt"/>
    <n v="6"/>
    <x v="10"/>
  </r>
  <r>
    <s v="AST1803"/>
    <x v="4"/>
    <x v="3"/>
    <x v="0"/>
    <s v="Machine-803"/>
    <n v="2014"/>
    <s v="2026-06-20"/>
    <x v="0"/>
    <x v="4"/>
    <n v="10.199999999999999"/>
    <n v="9003"/>
    <x v="4"/>
    <s v="Critical"/>
    <s v="Completed"/>
    <x v="2"/>
    <s v="Valve"/>
    <n v="4.4000000000000004"/>
    <x v="9"/>
  </r>
  <r>
    <s v="AST1804"/>
    <x v="3"/>
    <x v="4"/>
    <x v="4"/>
    <s v="Machine-804"/>
    <n v="2024"/>
    <s v="2026-06-30"/>
    <x v="1"/>
    <x v="5"/>
    <n v="5.5"/>
    <n v="44667"/>
    <x v="3"/>
    <s v="High"/>
    <s v="In Progress"/>
    <x v="1"/>
    <s v="Motor"/>
    <n v="0.5"/>
    <x v="0"/>
  </r>
  <r>
    <s v="AST1805"/>
    <x v="0"/>
    <x v="4"/>
    <x v="0"/>
    <s v="Machine-805"/>
    <n v="2020"/>
    <s v="2026-01-09"/>
    <x v="1"/>
    <x v="5"/>
    <n v="14.9"/>
    <n v="40818"/>
    <x v="3"/>
    <s v="High"/>
    <s v="Completed"/>
    <x v="1"/>
    <s v="Valve"/>
    <n v="2.8"/>
    <x v="3"/>
  </r>
  <r>
    <s v="AST1806"/>
    <x v="2"/>
    <x v="3"/>
    <x v="2"/>
    <s v="Machine-806"/>
    <n v="2020"/>
    <s v="2026-02-19"/>
    <x v="0"/>
    <x v="5"/>
    <n v="8"/>
    <n v="43198"/>
    <x v="1"/>
    <s v="Medium"/>
    <s v="In Progress"/>
    <x v="2"/>
    <s v="Belt"/>
    <n v="2"/>
    <x v="3"/>
  </r>
  <r>
    <s v="AST1807"/>
    <x v="1"/>
    <x v="1"/>
    <x v="1"/>
    <s v="Machine-807"/>
    <n v="2017"/>
    <s v="2026-01-26"/>
    <x v="1"/>
    <x v="4"/>
    <n v="15.3"/>
    <n v="42611"/>
    <x v="3"/>
    <s v="Medium"/>
    <s v="In Progress"/>
    <x v="0"/>
    <s v="Bearing"/>
    <n v="1.4"/>
    <x v="7"/>
  </r>
  <r>
    <s v="AST1808"/>
    <x v="2"/>
    <x v="2"/>
    <x v="1"/>
    <s v="Machine-808"/>
    <n v="2020"/>
    <s v="2026-01-03"/>
    <x v="1"/>
    <x v="5"/>
    <n v="16.600000000000001"/>
    <n v="6662"/>
    <x v="2"/>
    <s v="Critical"/>
    <s v="Completed"/>
    <x v="1"/>
    <s v="None"/>
    <n v="1.7"/>
    <x v="3"/>
  </r>
  <r>
    <s v="AST1809"/>
    <x v="4"/>
    <x v="2"/>
    <x v="0"/>
    <s v="Machine-809"/>
    <n v="2021"/>
    <s v="2026-06-12"/>
    <x v="1"/>
    <x v="3"/>
    <n v="5.7"/>
    <n v="36589"/>
    <x v="4"/>
    <s v="Critical"/>
    <s v="In Progress"/>
    <x v="1"/>
    <s v="Bearing"/>
    <n v="3.1"/>
    <x v="8"/>
  </r>
  <r>
    <s v="AST1810"/>
    <x v="0"/>
    <x v="1"/>
    <x v="2"/>
    <s v="Machine-810"/>
    <n v="2016"/>
    <s v="2026-06-10"/>
    <x v="0"/>
    <x v="4"/>
    <n v="16.7"/>
    <n v="9540"/>
    <x v="0"/>
    <s v="Medium"/>
    <s v="In Progress"/>
    <x v="2"/>
    <s v="Motor"/>
    <n v="1.4"/>
    <x v="6"/>
  </r>
  <r>
    <s v="AST1811"/>
    <x v="1"/>
    <x v="3"/>
    <x v="1"/>
    <s v="Machine-811"/>
    <n v="2021"/>
    <s v="2026-04-03"/>
    <x v="0"/>
    <x v="1"/>
    <n v="7.7"/>
    <n v="33384"/>
    <x v="5"/>
    <s v="Low"/>
    <s v="Completed"/>
    <x v="1"/>
    <s v="Valve"/>
    <n v="4.0999999999999996"/>
    <x v="8"/>
  </r>
  <r>
    <s v="AST1812"/>
    <x v="3"/>
    <x v="2"/>
    <x v="0"/>
    <s v="Machine-812"/>
    <n v="2019"/>
    <s v="2026-06-12"/>
    <x v="0"/>
    <x v="3"/>
    <n v="12"/>
    <n v="42867"/>
    <x v="2"/>
    <s v="Low"/>
    <s v="Completed"/>
    <x v="2"/>
    <s v="Sensor"/>
    <n v="5.0999999999999996"/>
    <x v="5"/>
  </r>
  <r>
    <s v="AST1813"/>
    <x v="2"/>
    <x v="4"/>
    <x v="0"/>
    <s v="Machine-813"/>
    <n v="2023"/>
    <s v="2026-06-03"/>
    <x v="1"/>
    <x v="2"/>
    <n v="16.7"/>
    <n v="14138"/>
    <x v="2"/>
    <s v="Low"/>
    <s v="Pending"/>
    <x v="0"/>
    <s v="Belt"/>
    <n v="5.4"/>
    <x v="4"/>
  </r>
  <r>
    <s v="AST1814"/>
    <x v="4"/>
    <x v="4"/>
    <x v="0"/>
    <s v="Machine-814"/>
    <n v="2016"/>
    <s v="2026-02-25"/>
    <x v="0"/>
    <x v="3"/>
    <n v="4.3"/>
    <n v="9795"/>
    <x v="3"/>
    <s v="High"/>
    <s v="In Progress"/>
    <x v="0"/>
    <s v="Bearing"/>
    <n v="3.8"/>
    <x v="6"/>
  </r>
  <r>
    <s v="AST1815"/>
    <x v="4"/>
    <x v="3"/>
    <x v="3"/>
    <s v="Machine-815"/>
    <n v="2022"/>
    <s v="2026-06-16"/>
    <x v="1"/>
    <x v="4"/>
    <n v="9.5"/>
    <n v="27710"/>
    <x v="4"/>
    <s v="High"/>
    <s v="Completed"/>
    <x v="0"/>
    <s v="None"/>
    <n v="8.5"/>
    <x v="1"/>
  </r>
  <r>
    <s v="AST1816"/>
    <x v="3"/>
    <x v="4"/>
    <x v="6"/>
    <s v="Machine-816"/>
    <n v="2025"/>
    <s v="2026-03-13"/>
    <x v="1"/>
    <x v="5"/>
    <n v="6"/>
    <n v="14989"/>
    <x v="5"/>
    <s v="Critical"/>
    <s v="In Progress"/>
    <x v="2"/>
    <s v="Valve"/>
    <n v="6.2"/>
    <x v="11"/>
  </r>
  <r>
    <s v="AST1817"/>
    <x v="4"/>
    <x v="1"/>
    <x v="1"/>
    <s v="Machine-817"/>
    <n v="2018"/>
    <s v="2026-07-28"/>
    <x v="1"/>
    <x v="4"/>
    <n v="4"/>
    <n v="24628"/>
    <x v="3"/>
    <s v="Low"/>
    <s v="In Progress"/>
    <x v="0"/>
    <s v="Bearing"/>
    <n v="9.6"/>
    <x v="2"/>
  </r>
  <r>
    <s v="AST1818"/>
    <x v="3"/>
    <x v="0"/>
    <x v="6"/>
    <s v="Machine-818"/>
    <n v="2018"/>
    <s v="2026-05-31"/>
    <x v="1"/>
    <x v="0"/>
    <n v="17.100000000000001"/>
    <n v="36266"/>
    <x v="3"/>
    <s v="Critical"/>
    <s v="Completed"/>
    <x v="0"/>
    <s v="Motor"/>
    <n v="8.1999999999999993"/>
    <x v="2"/>
  </r>
  <r>
    <s v="AST1819"/>
    <x v="1"/>
    <x v="0"/>
    <x v="0"/>
    <s v="Machine-819"/>
    <n v="2020"/>
    <s v="2026-07-22"/>
    <x v="0"/>
    <x v="0"/>
    <n v="7"/>
    <n v="11005"/>
    <x v="3"/>
    <s v="Low"/>
    <s v="Completed"/>
    <x v="2"/>
    <s v="None"/>
    <n v="0.6"/>
    <x v="3"/>
  </r>
  <r>
    <s v="AST1820"/>
    <x v="3"/>
    <x v="1"/>
    <x v="2"/>
    <s v="Machine-820"/>
    <n v="2019"/>
    <s v="2026-02-24"/>
    <x v="0"/>
    <x v="3"/>
    <n v="10.3"/>
    <n v="26770"/>
    <x v="3"/>
    <s v="Medium"/>
    <s v="Pending"/>
    <x v="0"/>
    <s v="Bearing"/>
    <n v="5.8"/>
    <x v="5"/>
  </r>
  <r>
    <s v="AST1821"/>
    <x v="0"/>
    <x v="1"/>
    <x v="3"/>
    <s v="Machine-821"/>
    <n v="2025"/>
    <s v="2026-06-05"/>
    <x v="0"/>
    <x v="4"/>
    <n v="6.1"/>
    <n v="22479"/>
    <x v="4"/>
    <s v="Medium"/>
    <s v="Completed"/>
    <x v="2"/>
    <s v="Valve"/>
    <n v="0.9"/>
    <x v="11"/>
  </r>
  <r>
    <s v="AST1822"/>
    <x v="0"/>
    <x v="4"/>
    <x v="5"/>
    <s v="Machine-822"/>
    <n v="2018"/>
    <s v="2026-04-18"/>
    <x v="0"/>
    <x v="2"/>
    <n v="10.8"/>
    <n v="16994"/>
    <x v="2"/>
    <s v="Low"/>
    <s v="In Progress"/>
    <x v="0"/>
    <s v="None"/>
    <n v="7.9"/>
    <x v="2"/>
  </r>
  <r>
    <s v="AST1823"/>
    <x v="3"/>
    <x v="0"/>
    <x v="0"/>
    <s v="Machine-823"/>
    <n v="2023"/>
    <s v="2026-01-02"/>
    <x v="1"/>
    <x v="4"/>
    <n v="1.1000000000000001"/>
    <n v="36461"/>
    <x v="2"/>
    <s v="Low"/>
    <s v="In Progress"/>
    <x v="1"/>
    <s v="Bearing"/>
    <n v="1.2"/>
    <x v="4"/>
  </r>
  <r>
    <s v="AST1824"/>
    <x v="3"/>
    <x v="0"/>
    <x v="4"/>
    <s v="Machine-824"/>
    <n v="2015"/>
    <s v="2026-07-25"/>
    <x v="0"/>
    <x v="2"/>
    <n v="7.5"/>
    <n v="37967"/>
    <x v="3"/>
    <s v="Critical"/>
    <s v="Pending"/>
    <x v="0"/>
    <s v="Valve"/>
    <n v="3.3"/>
    <x v="10"/>
  </r>
  <r>
    <s v="AST1825"/>
    <x v="0"/>
    <x v="0"/>
    <x v="6"/>
    <s v="Machine-825"/>
    <n v="2021"/>
    <s v="2026-05-07"/>
    <x v="0"/>
    <x v="3"/>
    <n v="1.3"/>
    <n v="2181"/>
    <x v="4"/>
    <s v="Low"/>
    <s v="In Progress"/>
    <x v="1"/>
    <s v="None"/>
    <n v="4.5999999999999996"/>
    <x v="8"/>
  </r>
  <r>
    <s v="AST1826"/>
    <x v="1"/>
    <x v="0"/>
    <x v="2"/>
    <s v="Machine-826"/>
    <n v="2016"/>
    <s v="2026-01-23"/>
    <x v="2"/>
    <x v="1"/>
    <n v="16.8"/>
    <n v="4940"/>
    <x v="3"/>
    <s v="Low"/>
    <s v="Completed"/>
    <x v="0"/>
    <s v="Sensor"/>
    <n v="1.2"/>
    <x v="6"/>
  </r>
  <r>
    <s v="AST1827"/>
    <x v="2"/>
    <x v="3"/>
    <x v="4"/>
    <s v="Machine-827"/>
    <n v="2019"/>
    <s v="2026-06-26"/>
    <x v="1"/>
    <x v="3"/>
    <n v="10.7"/>
    <n v="9357"/>
    <x v="4"/>
    <s v="High"/>
    <s v="Completed"/>
    <x v="1"/>
    <s v="Valve"/>
    <n v="6.6"/>
    <x v="5"/>
  </r>
  <r>
    <s v="AST1828"/>
    <x v="2"/>
    <x v="1"/>
    <x v="0"/>
    <s v="Machine-828"/>
    <n v="2024"/>
    <s v="2026-02-01"/>
    <x v="1"/>
    <x v="0"/>
    <n v="9.1"/>
    <n v="19885"/>
    <x v="3"/>
    <s v="Critical"/>
    <s v="Completed"/>
    <x v="0"/>
    <s v="Sensor"/>
    <n v="7.8"/>
    <x v="0"/>
  </r>
  <r>
    <s v="AST1829"/>
    <x v="4"/>
    <x v="1"/>
    <x v="2"/>
    <s v="Machine-829"/>
    <n v="2025"/>
    <s v="2026-01-22"/>
    <x v="2"/>
    <x v="0"/>
    <n v="11.8"/>
    <n v="14993"/>
    <x v="5"/>
    <s v="Low"/>
    <s v="Completed"/>
    <x v="2"/>
    <s v="Bearing"/>
    <n v="2.5"/>
    <x v="11"/>
  </r>
  <r>
    <s v="AST1830"/>
    <x v="3"/>
    <x v="3"/>
    <x v="0"/>
    <s v="Machine-830"/>
    <n v="2024"/>
    <s v="2026-02-25"/>
    <x v="0"/>
    <x v="2"/>
    <n v="4.2"/>
    <n v="40200"/>
    <x v="2"/>
    <s v="High"/>
    <s v="In Progress"/>
    <x v="1"/>
    <s v="Valve"/>
    <n v="6.7"/>
    <x v="0"/>
  </r>
  <r>
    <s v="AST1831"/>
    <x v="1"/>
    <x v="2"/>
    <x v="4"/>
    <s v="Machine-831"/>
    <n v="2022"/>
    <s v="2026-01-28"/>
    <x v="0"/>
    <x v="4"/>
    <n v="15.7"/>
    <n v="35150"/>
    <x v="4"/>
    <s v="Critical"/>
    <s v="Completed"/>
    <x v="0"/>
    <s v="Sensor"/>
    <n v="4.5"/>
    <x v="1"/>
  </r>
  <r>
    <s v="AST1832"/>
    <x v="2"/>
    <x v="4"/>
    <x v="0"/>
    <s v="Machine-832"/>
    <n v="2024"/>
    <s v="2026-03-20"/>
    <x v="0"/>
    <x v="1"/>
    <n v="13.5"/>
    <n v="17265"/>
    <x v="0"/>
    <s v="Critical"/>
    <s v="Completed"/>
    <x v="2"/>
    <s v="Bearing"/>
    <n v="5"/>
    <x v="0"/>
  </r>
  <r>
    <s v="AST1833"/>
    <x v="4"/>
    <x v="0"/>
    <x v="1"/>
    <s v="Machine-833"/>
    <n v="2022"/>
    <s v="2026-04-26"/>
    <x v="2"/>
    <x v="1"/>
    <n v="6.7"/>
    <n v="15397"/>
    <x v="4"/>
    <s v="Critical"/>
    <s v="Pending"/>
    <x v="2"/>
    <s v="Belt"/>
    <n v="3.7"/>
    <x v="1"/>
  </r>
  <r>
    <s v="AST1834"/>
    <x v="4"/>
    <x v="4"/>
    <x v="1"/>
    <s v="Machine-834"/>
    <n v="2021"/>
    <s v="2026-03-11"/>
    <x v="1"/>
    <x v="0"/>
    <n v="16.7"/>
    <n v="14209"/>
    <x v="3"/>
    <s v="Medium"/>
    <s v="In Progress"/>
    <x v="0"/>
    <s v="Belt"/>
    <n v="3.1"/>
    <x v="8"/>
  </r>
  <r>
    <s v="AST1835"/>
    <x v="2"/>
    <x v="3"/>
    <x v="1"/>
    <s v="Machine-835"/>
    <n v="2023"/>
    <s v="2026-05-07"/>
    <x v="1"/>
    <x v="0"/>
    <n v="4.9000000000000004"/>
    <n v="8779"/>
    <x v="4"/>
    <s v="Low"/>
    <s v="Completed"/>
    <x v="0"/>
    <s v="Belt"/>
    <n v="3"/>
    <x v="4"/>
  </r>
  <r>
    <s v="AST1836"/>
    <x v="0"/>
    <x v="0"/>
    <x v="0"/>
    <s v="Machine-836"/>
    <n v="2015"/>
    <s v="2026-05-17"/>
    <x v="2"/>
    <x v="0"/>
    <n v="13"/>
    <n v="27184"/>
    <x v="1"/>
    <s v="Low"/>
    <s v="Completed"/>
    <x v="1"/>
    <s v="None"/>
    <n v="3"/>
    <x v="10"/>
  </r>
  <r>
    <s v="AST1837"/>
    <x v="1"/>
    <x v="0"/>
    <x v="3"/>
    <s v="Machine-837"/>
    <n v="2017"/>
    <s v="2026-02-13"/>
    <x v="0"/>
    <x v="5"/>
    <n v="5.5"/>
    <n v="1703"/>
    <x v="0"/>
    <s v="Medium"/>
    <s v="Pending"/>
    <x v="1"/>
    <s v="Belt"/>
    <n v="5"/>
    <x v="7"/>
  </r>
  <r>
    <s v="AST1838"/>
    <x v="1"/>
    <x v="2"/>
    <x v="4"/>
    <s v="Machine-838"/>
    <n v="2018"/>
    <s v="2026-06-26"/>
    <x v="1"/>
    <x v="3"/>
    <n v="3.8"/>
    <n v="31333"/>
    <x v="4"/>
    <s v="Low"/>
    <s v="Pending"/>
    <x v="2"/>
    <s v="Valve"/>
    <n v="3.7"/>
    <x v="2"/>
  </r>
  <r>
    <s v="AST1839"/>
    <x v="0"/>
    <x v="2"/>
    <x v="3"/>
    <s v="Machine-839"/>
    <n v="2016"/>
    <s v="2026-03-09"/>
    <x v="1"/>
    <x v="1"/>
    <n v="10.9"/>
    <n v="32552"/>
    <x v="2"/>
    <s v="Low"/>
    <s v="In Progress"/>
    <x v="0"/>
    <s v="Valve"/>
    <n v="1.5"/>
    <x v="6"/>
  </r>
  <r>
    <s v="AST1840"/>
    <x v="4"/>
    <x v="2"/>
    <x v="6"/>
    <s v="Machine-840"/>
    <n v="2014"/>
    <s v="2026-05-26"/>
    <x v="1"/>
    <x v="3"/>
    <n v="14.1"/>
    <n v="8053"/>
    <x v="3"/>
    <s v="High"/>
    <s v="In Progress"/>
    <x v="2"/>
    <s v="None"/>
    <n v="3.8"/>
    <x v="9"/>
  </r>
  <r>
    <s v="AST1841"/>
    <x v="3"/>
    <x v="0"/>
    <x v="4"/>
    <s v="Machine-841"/>
    <n v="2022"/>
    <s v="2026-03-07"/>
    <x v="0"/>
    <x v="2"/>
    <n v="5.8"/>
    <n v="23371"/>
    <x v="2"/>
    <s v="Critical"/>
    <s v="Completed"/>
    <x v="2"/>
    <s v="None"/>
    <n v="5.4"/>
    <x v="1"/>
  </r>
  <r>
    <s v="AST1842"/>
    <x v="1"/>
    <x v="3"/>
    <x v="2"/>
    <s v="Machine-842"/>
    <n v="2024"/>
    <s v="2026-01-06"/>
    <x v="0"/>
    <x v="3"/>
    <n v="6.8"/>
    <n v="3525"/>
    <x v="4"/>
    <s v="Critical"/>
    <s v="In Progress"/>
    <x v="0"/>
    <s v="None"/>
    <n v="1.3"/>
    <x v="0"/>
  </r>
  <r>
    <s v="AST1843"/>
    <x v="0"/>
    <x v="0"/>
    <x v="3"/>
    <s v="Machine-843"/>
    <n v="2020"/>
    <s v="2026-06-13"/>
    <x v="1"/>
    <x v="4"/>
    <n v="17.8"/>
    <n v="36031"/>
    <x v="4"/>
    <s v="High"/>
    <s v="Pending"/>
    <x v="2"/>
    <s v="Sensor"/>
    <n v="4.2"/>
    <x v="3"/>
  </r>
  <r>
    <s v="AST1844"/>
    <x v="4"/>
    <x v="2"/>
    <x v="1"/>
    <s v="Machine-844"/>
    <n v="2020"/>
    <s v="2026-03-12"/>
    <x v="1"/>
    <x v="0"/>
    <n v="6.5"/>
    <n v="41632"/>
    <x v="0"/>
    <s v="Critical"/>
    <s v="In Progress"/>
    <x v="1"/>
    <s v="Sensor"/>
    <n v="3.2"/>
    <x v="3"/>
  </r>
  <r>
    <s v="AST1845"/>
    <x v="1"/>
    <x v="3"/>
    <x v="3"/>
    <s v="Machine-845"/>
    <n v="2014"/>
    <s v="2026-05-08"/>
    <x v="0"/>
    <x v="2"/>
    <n v="11.4"/>
    <n v="12156"/>
    <x v="3"/>
    <s v="Critical"/>
    <s v="In Progress"/>
    <x v="0"/>
    <s v="Sensor"/>
    <n v="0.6"/>
    <x v="9"/>
  </r>
  <r>
    <s v="AST1846"/>
    <x v="4"/>
    <x v="1"/>
    <x v="1"/>
    <s v="Machine-846"/>
    <n v="2014"/>
    <s v="2026-02-25"/>
    <x v="0"/>
    <x v="2"/>
    <n v="0.6"/>
    <n v="24585"/>
    <x v="5"/>
    <s v="Low"/>
    <s v="Completed"/>
    <x v="2"/>
    <s v="Motor"/>
    <n v="3.8"/>
    <x v="9"/>
  </r>
  <r>
    <s v="AST1847"/>
    <x v="2"/>
    <x v="1"/>
    <x v="0"/>
    <s v="Machine-847"/>
    <n v="2018"/>
    <s v="2026-07-21"/>
    <x v="2"/>
    <x v="0"/>
    <n v="5.2"/>
    <n v="14392"/>
    <x v="1"/>
    <s v="Low"/>
    <s v="In Progress"/>
    <x v="0"/>
    <s v="Bearing"/>
    <n v="5"/>
    <x v="2"/>
  </r>
  <r>
    <s v="AST1848"/>
    <x v="3"/>
    <x v="3"/>
    <x v="5"/>
    <s v="Machine-848"/>
    <n v="2019"/>
    <s v="2026-03-05"/>
    <x v="2"/>
    <x v="1"/>
    <n v="16.100000000000001"/>
    <n v="21293"/>
    <x v="2"/>
    <s v="High"/>
    <s v="Completed"/>
    <x v="1"/>
    <s v="Valve"/>
    <n v="6.9"/>
    <x v="5"/>
  </r>
  <r>
    <s v="AST1849"/>
    <x v="2"/>
    <x v="2"/>
    <x v="3"/>
    <s v="Machine-849"/>
    <n v="2019"/>
    <s v="2026-07-25"/>
    <x v="1"/>
    <x v="2"/>
    <n v="2.9"/>
    <n v="37825"/>
    <x v="4"/>
    <s v="High"/>
    <s v="In Progress"/>
    <x v="0"/>
    <s v="Sensor"/>
    <n v="5.9"/>
    <x v="5"/>
  </r>
  <r>
    <s v="AST1850"/>
    <x v="2"/>
    <x v="2"/>
    <x v="5"/>
    <s v="Machine-850"/>
    <n v="2024"/>
    <s v="2026-04-29"/>
    <x v="1"/>
    <x v="4"/>
    <n v="2.2000000000000002"/>
    <n v="36009"/>
    <x v="1"/>
    <s v="High"/>
    <s v="Pending"/>
    <x v="1"/>
    <s v="None"/>
    <n v="3.9"/>
    <x v="0"/>
  </r>
  <r>
    <s v="AST1851"/>
    <x v="3"/>
    <x v="3"/>
    <x v="5"/>
    <s v="Machine-851"/>
    <n v="2019"/>
    <s v="2026-04-20"/>
    <x v="0"/>
    <x v="5"/>
    <n v="1"/>
    <n v="29085"/>
    <x v="0"/>
    <s v="Medium"/>
    <s v="Pending"/>
    <x v="2"/>
    <s v="Motor"/>
    <n v="6"/>
    <x v="5"/>
  </r>
  <r>
    <s v="AST1852"/>
    <x v="2"/>
    <x v="1"/>
    <x v="6"/>
    <s v="Machine-852"/>
    <n v="2019"/>
    <s v="2026-02-02"/>
    <x v="2"/>
    <x v="1"/>
    <n v="13.7"/>
    <n v="27233"/>
    <x v="4"/>
    <s v="Critical"/>
    <s v="Pending"/>
    <x v="0"/>
    <s v="Valve"/>
    <n v="8.1999999999999993"/>
    <x v="5"/>
  </r>
  <r>
    <s v="AST1853"/>
    <x v="0"/>
    <x v="4"/>
    <x v="1"/>
    <s v="Machine-853"/>
    <n v="2022"/>
    <s v="2026-04-28"/>
    <x v="0"/>
    <x v="0"/>
    <n v="2.4"/>
    <n v="40450"/>
    <x v="0"/>
    <s v="High"/>
    <s v="Pending"/>
    <x v="2"/>
    <s v="None"/>
    <n v="3.6"/>
    <x v="1"/>
  </r>
  <r>
    <s v="AST1854"/>
    <x v="2"/>
    <x v="1"/>
    <x v="3"/>
    <s v="Machine-854"/>
    <n v="2014"/>
    <s v="2026-02-01"/>
    <x v="1"/>
    <x v="0"/>
    <n v="4.0999999999999996"/>
    <n v="10947"/>
    <x v="2"/>
    <s v="Critical"/>
    <s v="Completed"/>
    <x v="0"/>
    <s v="None"/>
    <n v="6.6"/>
    <x v="9"/>
  </r>
  <r>
    <s v="AST1855"/>
    <x v="4"/>
    <x v="4"/>
    <x v="2"/>
    <s v="Machine-855"/>
    <n v="2016"/>
    <s v="2026-03-19"/>
    <x v="0"/>
    <x v="0"/>
    <n v="4"/>
    <n v="5900"/>
    <x v="0"/>
    <s v="Medium"/>
    <s v="Pending"/>
    <x v="0"/>
    <s v="Belt"/>
    <n v="1.4"/>
    <x v="6"/>
  </r>
  <r>
    <s v="AST1856"/>
    <x v="3"/>
    <x v="4"/>
    <x v="2"/>
    <s v="Machine-856"/>
    <n v="2017"/>
    <s v="2026-01-27"/>
    <x v="1"/>
    <x v="4"/>
    <n v="1.5"/>
    <n v="9483"/>
    <x v="3"/>
    <s v="Critical"/>
    <s v="In Progress"/>
    <x v="0"/>
    <s v="Motor"/>
    <n v="8.5"/>
    <x v="7"/>
  </r>
  <r>
    <s v="AST1857"/>
    <x v="2"/>
    <x v="3"/>
    <x v="2"/>
    <s v="Machine-857"/>
    <n v="2022"/>
    <s v="2026-03-08"/>
    <x v="1"/>
    <x v="1"/>
    <n v="8.1"/>
    <n v="43193"/>
    <x v="0"/>
    <s v="Medium"/>
    <s v="Completed"/>
    <x v="1"/>
    <s v="None"/>
    <n v="2.8"/>
    <x v="1"/>
  </r>
  <r>
    <s v="AST1858"/>
    <x v="2"/>
    <x v="2"/>
    <x v="5"/>
    <s v="Machine-858"/>
    <n v="2022"/>
    <s v="2026-07-09"/>
    <x v="0"/>
    <x v="2"/>
    <n v="12.2"/>
    <n v="40085"/>
    <x v="1"/>
    <s v="High"/>
    <s v="Pending"/>
    <x v="2"/>
    <s v="Valve"/>
    <n v="4.2"/>
    <x v="1"/>
  </r>
  <r>
    <s v="AST1859"/>
    <x v="3"/>
    <x v="3"/>
    <x v="0"/>
    <s v="Machine-859"/>
    <n v="2015"/>
    <s v="2026-04-29"/>
    <x v="0"/>
    <x v="4"/>
    <n v="2.6"/>
    <n v="27021"/>
    <x v="0"/>
    <s v="High"/>
    <s v="Completed"/>
    <x v="1"/>
    <s v="None"/>
    <n v="9"/>
    <x v="10"/>
  </r>
  <r>
    <s v="AST1860"/>
    <x v="0"/>
    <x v="0"/>
    <x v="0"/>
    <s v="Machine-860"/>
    <n v="2023"/>
    <s v="2026-04-24"/>
    <x v="0"/>
    <x v="0"/>
    <n v="8.5"/>
    <n v="2097"/>
    <x v="4"/>
    <s v="High"/>
    <s v="Pending"/>
    <x v="1"/>
    <s v="Motor"/>
    <n v="3.8"/>
    <x v="4"/>
  </r>
  <r>
    <s v="AST1861"/>
    <x v="3"/>
    <x v="1"/>
    <x v="1"/>
    <s v="Machine-861"/>
    <n v="2025"/>
    <s v="2026-05-15"/>
    <x v="0"/>
    <x v="3"/>
    <n v="6.7"/>
    <n v="38406"/>
    <x v="3"/>
    <s v="Critical"/>
    <s v="Pending"/>
    <x v="0"/>
    <s v="Sensor"/>
    <n v="8"/>
    <x v="11"/>
  </r>
  <r>
    <s v="AST1862"/>
    <x v="3"/>
    <x v="4"/>
    <x v="2"/>
    <s v="Machine-862"/>
    <n v="2024"/>
    <s v="2026-03-19"/>
    <x v="1"/>
    <x v="4"/>
    <n v="17.3"/>
    <n v="41204"/>
    <x v="5"/>
    <s v="Medium"/>
    <s v="Pending"/>
    <x v="1"/>
    <s v="Belt"/>
    <n v="7.9"/>
    <x v="0"/>
  </r>
  <r>
    <s v="AST1863"/>
    <x v="1"/>
    <x v="0"/>
    <x v="6"/>
    <s v="Machine-863"/>
    <n v="2022"/>
    <s v="2026-03-08"/>
    <x v="2"/>
    <x v="2"/>
    <n v="10.7"/>
    <n v="27961"/>
    <x v="0"/>
    <s v="Low"/>
    <s v="Completed"/>
    <x v="1"/>
    <s v="Motor"/>
    <n v="2.7"/>
    <x v="1"/>
  </r>
  <r>
    <s v="AST1864"/>
    <x v="3"/>
    <x v="3"/>
    <x v="4"/>
    <s v="Machine-864"/>
    <n v="2024"/>
    <s v="2026-01-28"/>
    <x v="1"/>
    <x v="0"/>
    <n v="14.4"/>
    <n v="8409"/>
    <x v="4"/>
    <s v="Critical"/>
    <s v="In Progress"/>
    <x v="0"/>
    <s v="Bearing"/>
    <n v="6.3"/>
    <x v="0"/>
  </r>
  <r>
    <s v="AST1865"/>
    <x v="0"/>
    <x v="3"/>
    <x v="2"/>
    <s v="Machine-865"/>
    <n v="2015"/>
    <s v="2026-01-10"/>
    <x v="0"/>
    <x v="0"/>
    <n v="15.2"/>
    <n v="12907"/>
    <x v="3"/>
    <s v="Low"/>
    <s v="Pending"/>
    <x v="2"/>
    <s v="Valve"/>
    <n v="1.8"/>
    <x v="10"/>
  </r>
  <r>
    <s v="AST1866"/>
    <x v="2"/>
    <x v="2"/>
    <x v="0"/>
    <s v="Machine-866"/>
    <n v="2024"/>
    <s v="2026-05-27"/>
    <x v="0"/>
    <x v="4"/>
    <n v="12.4"/>
    <n v="16278"/>
    <x v="4"/>
    <s v="Medium"/>
    <s v="In Progress"/>
    <x v="1"/>
    <s v="Motor"/>
    <n v="1.3"/>
    <x v="0"/>
  </r>
  <r>
    <s v="AST1867"/>
    <x v="0"/>
    <x v="2"/>
    <x v="1"/>
    <s v="Machine-867"/>
    <n v="2014"/>
    <s v="2026-06-11"/>
    <x v="1"/>
    <x v="1"/>
    <n v="6.8"/>
    <n v="28240"/>
    <x v="2"/>
    <s v="Low"/>
    <s v="In Progress"/>
    <x v="0"/>
    <s v="None"/>
    <n v="7.4"/>
    <x v="9"/>
  </r>
  <r>
    <s v="AST1868"/>
    <x v="2"/>
    <x v="3"/>
    <x v="0"/>
    <s v="Machine-868"/>
    <n v="2025"/>
    <s v="2026-06-14"/>
    <x v="1"/>
    <x v="5"/>
    <n v="15"/>
    <n v="34323"/>
    <x v="3"/>
    <s v="High"/>
    <s v="Pending"/>
    <x v="1"/>
    <s v="Motor"/>
    <n v="8.1"/>
    <x v="11"/>
  </r>
  <r>
    <s v="AST1869"/>
    <x v="3"/>
    <x v="4"/>
    <x v="6"/>
    <s v="Machine-869"/>
    <n v="2021"/>
    <s v="2026-04-20"/>
    <x v="0"/>
    <x v="5"/>
    <n v="5.7"/>
    <n v="9228"/>
    <x v="1"/>
    <s v="Medium"/>
    <s v="Completed"/>
    <x v="1"/>
    <s v="Belt"/>
    <n v="3.6"/>
    <x v="8"/>
  </r>
  <r>
    <s v="AST1870"/>
    <x v="4"/>
    <x v="0"/>
    <x v="5"/>
    <s v="Machine-870"/>
    <n v="2017"/>
    <s v="2026-07-30"/>
    <x v="1"/>
    <x v="1"/>
    <n v="15.8"/>
    <n v="11845"/>
    <x v="3"/>
    <s v="Low"/>
    <s v="Pending"/>
    <x v="1"/>
    <s v="Motor"/>
    <n v="8.6"/>
    <x v="7"/>
  </r>
  <r>
    <s v="AST1871"/>
    <x v="4"/>
    <x v="3"/>
    <x v="6"/>
    <s v="Machine-871"/>
    <n v="2023"/>
    <s v="2026-05-09"/>
    <x v="0"/>
    <x v="0"/>
    <n v="16.100000000000001"/>
    <n v="39692"/>
    <x v="1"/>
    <s v="High"/>
    <s v="Pending"/>
    <x v="0"/>
    <s v="Bearing"/>
    <n v="3.7"/>
    <x v="4"/>
  </r>
  <r>
    <s v="AST1872"/>
    <x v="4"/>
    <x v="4"/>
    <x v="0"/>
    <s v="Machine-872"/>
    <n v="2018"/>
    <s v="2026-02-21"/>
    <x v="0"/>
    <x v="0"/>
    <n v="6.3"/>
    <n v="44972"/>
    <x v="0"/>
    <s v="Medium"/>
    <s v="In Progress"/>
    <x v="0"/>
    <s v="Belt"/>
    <n v="9.1"/>
    <x v="2"/>
  </r>
  <r>
    <s v="AST1873"/>
    <x v="0"/>
    <x v="0"/>
    <x v="1"/>
    <s v="Machine-873"/>
    <n v="2025"/>
    <s v="2026-07-15"/>
    <x v="2"/>
    <x v="5"/>
    <n v="13.4"/>
    <n v="6781"/>
    <x v="2"/>
    <s v="Critical"/>
    <s v="Completed"/>
    <x v="2"/>
    <s v="None"/>
    <n v="0.9"/>
    <x v="11"/>
  </r>
  <r>
    <s v="AST1874"/>
    <x v="2"/>
    <x v="2"/>
    <x v="3"/>
    <s v="Machine-874"/>
    <n v="2014"/>
    <s v="2026-05-08"/>
    <x v="0"/>
    <x v="4"/>
    <n v="5.8"/>
    <n v="16426"/>
    <x v="0"/>
    <s v="Low"/>
    <s v="Completed"/>
    <x v="0"/>
    <s v="Belt"/>
    <n v="6.3"/>
    <x v="9"/>
  </r>
  <r>
    <s v="AST1875"/>
    <x v="0"/>
    <x v="1"/>
    <x v="5"/>
    <s v="Machine-875"/>
    <n v="2020"/>
    <s v="2026-06-24"/>
    <x v="0"/>
    <x v="4"/>
    <n v="12.7"/>
    <n v="29662"/>
    <x v="5"/>
    <s v="Critical"/>
    <s v="Pending"/>
    <x v="0"/>
    <s v="Bearing"/>
    <n v="4.7"/>
    <x v="3"/>
  </r>
  <r>
    <s v="AST1876"/>
    <x v="4"/>
    <x v="2"/>
    <x v="4"/>
    <s v="Machine-876"/>
    <n v="2023"/>
    <s v="2026-04-05"/>
    <x v="0"/>
    <x v="1"/>
    <n v="4.7"/>
    <n v="7528"/>
    <x v="2"/>
    <s v="Low"/>
    <s v="Completed"/>
    <x v="2"/>
    <s v="None"/>
    <n v="7.6"/>
    <x v="4"/>
  </r>
  <r>
    <s v="AST1877"/>
    <x v="0"/>
    <x v="4"/>
    <x v="2"/>
    <s v="Machine-877"/>
    <n v="2022"/>
    <s v="2026-05-26"/>
    <x v="1"/>
    <x v="1"/>
    <n v="1.8"/>
    <n v="9804"/>
    <x v="1"/>
    <s v="Medium"/>
    <s v="In Progress"/>
    <x v="0"/>
    <s v="Sensor"/>
    <n v="3.8"/>
    <x v="1"/>
  </r>
  <r>
    <s v="AST1878"/>
    <x v="4"/>
    <x v="2"/>
    <x v="6"/>
    <s v="Machine-878"/>
    <n v="2024"/>
    <s v="2026-03-04"/>
    <x v="0"/>
    <x v="0"/>
    <n v="2.6"/>
    <n v="6533"/>
    <x v="0"/>
    <s v="High"/>
    <s v="Pending"/>
    <x v="0"/>
    <s v="Valve"/>
    <n v="7.2"/>
    <x v="0"/>
  </r>
  <r>
    <s v="AST1879"/>
    <x v="3"/>
    <x v="0"/>
    <x v="4"/>
    <s v="Machine-879"/>
    <n v="2019"/>
    <s v="2026-02-26"/>
    <x v="1"/>
    <x v="2"/>
    <n v="15.7"/>
    <n v="17504"/>
    <x v="2"/>
    <s v="High"/>
    <s v="In Progress"/>
    <x v="1"/>
    <s v="Belt"/>
    <n v="5.3"/>
    <x v="5"/>
  </r>
  <r>
    <s v="AST1880"/>
    <x v="3"/>
    <x v="1"/>
    <x v="5"/>
    <s v="Machine-880"/>
    <n v="2014"/>
    <s v="2026-03-30"/>
    <x v="0"/>
    <x v="3"/>
    <n v="16.5"/>
    <n v="35643"/>
    <x v="4"/>
    <s v="High"/>
    <s v="Pending"/>
    <x v="1"/>
    <s v="Motor"/>
    <n v="1.7"/>
    <x v="9"/>
  </r>
  <r>
    <s v="AST1881"/>
    <x v="1"/>
    <x v="4"/>
    <x v="0"/>
    <s v="Machine-881"/>
    <n v="2025"/>
    <s v="2026-07-28"/>
    <x v="1"/>
    <x v="0"/>
    <n v="13.9"/>
    <n v="8986"/>
    <x v="0"/>
    <s v="Critical"/>
    <s v="Completed"/>
    <x v="2"/>
    <s v="Sensor"/>
    <n v="6.1"/>
    <x v="11"/>
  </r>
  <r>
    <s v="AST1882"/>
    <x v="0"/>
    <x v="0"/>
    <x v="2"/>
    <s v="Machine-882"/>
    <n v="2018"/>
    <s v="2026-01-22"/>
    <x v="1"/>
    <x v="4"/>
    <n v="0.8"/>
    <n v="26573"/>
    <x v="1"/>
    <s v="Critical"/>
    <s v="Completed"/>
    <x v="0"/>
    <s v="Motor"/>
    <n v="4.0999999999999996"/>
    <x v="2"/>
  </r>
  <r>
    <s v="AST1883"/>
    <x v="2"/>
    <x v="4"/>
    <x v="3"/>
    <s v="Machine-883"/>
    <n v="2024"/>
    <s v="2026-04-21"/>
    <x v="0"/>
    <x v="5"/>
    <n v="13.9"/>
    <n v="3203"/>
    <x v="2"/>
    <s v="High"/>
    <s v="In Progress"/>
    <x v="1"/>
    <s v="Motor"/>
    <n v="7.7"/>
    <x v="0"/>
  </r>
  <r>
    <s v="AST1884"/>
    <x v="2"/>
    <x v="3"/>
    <x v="2"/>
    <s v="Machine-884"/>
    <n v="2019"/>
    <s v="2026-07-05"/>
    <x v="0"/>
    <x v="0"/>
    <n v="16.7"/>
    <n v="5243"/>
    <x v="0"/>
    <s v="Critical"/>
    <s v="Pending"/>
    <x v="1"/>
    <s v="Sensor"/>
    <n v="8.6999999999999993"/>
    <x v="5"/>
  </r>
  <r>
    <s v="AST1885"/>
    <x v="3"/>
    <x v="1"/>
    <x v="3"/>
    <s v="Machine-885"/>
    <n v="2022"/>
    <s v="2026-04-29"/>
    <x v="1"/>
    <x v="5"/>
    <n v="5.0999999999999996"/>
    <n v="26488"/>
    <x v="1"/>
    <s v="Medium"/>
    <s v="Completed"/>
    <x v="0"/>
    <s v="Sensor"/>
    <n v="8.1"/>
    <x v="1"/>
  </r>
  <r>
    <s v="AST1886"/>
    <x v="1"/>
    <x v="1"/>
    <x v="4"/>
    <s v="Machine-886"/>
    <n v="2018"/>
    <s v="2026-01-22"/>
    <x v="0"/>
    <x v="4"/>
    <n v="1.2"/>
    <n v="19474"/>
    <x v="3"/>
    <s v="High"/>
    <s v="Pending"/>
    <x v="2"/>
    <s v="None"/>
    <n v="8.1999999999999993"/>
    <x v="2"/>
  </r>
  <r>
    <s v="AST1887"/>
    <x v="0"/>
    <x v="0"/>
    <x v="6"/>
    <s v="Machine-887"/>
    <n v="2023"/>
    <s v="2026-01-04"/>
    <x v="1"/>
    <x v="2"/>
    <n v="15.3"/>
    <n v="30585"/>
    <x v="1"/>
    <s v="Low"/>
    <s v="In Progress"/>
    <x v="0"/>
    <s v="Valve"/>
    <n v="0.9"/>
    <x v="4"/>
  </r>
  <r>
    <s v="AST1888"/>
    <x v="2"/>
    <x v="2"/>
    <x v="5"/>
    <s v="Machine-888"/>
    <n v="2019"/>
    <s v="2026-05-03"/>
    <x v="0"/>
    <x v="1"/>
    <n v="5.3"/>
    <n v="41498"/>
    <x v="2"/>
    <s v="High"/>
    <s v="Completed"/>
    <x v="2"/>
    <s v="Motor"/>
    <n v="3"/>
    <x v="5"/>
  </r>
  <r>
    <s v="AST1889"/>
    <x v="3"/>
    <x v="2"/>
    <x v="0"/>
    <s v="Machine-889"/>
    <n v="2018"/>
    <s v="2026-03-08"/>
    <x v="1"/>
    <x v="3"/>
    <n v="15.7"/>
    <n v="44490"/>
    <x v="0"/>
    <s v="Medium"/>
    <s v="Completed"/>
    <x v="1"/>
    <s v="Bearing"/>
    <n v="2.2999999999999998"/>
    <x v="2"/>
  </r>
  <r>
    <s v="AST1890"/>
    <x v="2"/>
    <x v="0"/>
    <x v="1"/>
    <s v="Machine-890"/>
    <n v="2022"/>
    <s v="2026-04-23"/>
    <x v="1"/>
    <x v="3"/>
    <n v="1.6"/>
    <n v="18477"/>
    <x v="3"/>
    <s v="Low"/>
    <s v="Pending"/>
    <x v="2"/>
    <s v="Belt"/>
    <n v="7.3"/>
    <x v="1"/>
  </r>
  <r>
    <s v="AST1891"/>
    <x v="4"/>
    <x v="4"/>
    <x v="1"/>
    <s v="Machine-891"/>
    <n v="2023"/>
    <s v="2026-03-02"/>
    <x v="1"/>
    <x v="1"/>
    <n v="9.4"/>
    <n v="17030"/>
    <x v="4"/>
    <s v="High"/>
    <s v="Pending"/>
    <x v="2"/>
    <s v="None"/>
    <n v="4.5"/>
    <x v="4"/>
  </r>
  <r>
    <s v="AST1892"/>
    <x v="4"/>
    <x v="2"/>
    <x v="1"/>
    <s v="Machine-892"/>
    <n v="2024"/>
    <s v="2026-04-20"/>
    <x v="0"/>
    <x v="2"/>
    <n v="6.4"/>
    <n v="28247"/>
    <x v="5"/>
    <s v="High"/>
    <s v="In Progress"/>
    <x v="2"/>
    <s v="Belt"/>
    <n v="0.8"/>
    <x v="0"/>
  </r>
  <r>
    <s v="AST1893"/>
    <x v="4"/>
    <x v="2"/>
    <x v="6"/>
    <s v="Machine-893"/>
    <n v="2019"/>
    <s v="2026-01-12"/>
    <x v="0"/>
    <x v="5"/>
    <n v="4.2"/>
    <n v="22019"/>
    <x v="2"/>
    <s v="High"/>
    <s v="Completed"/>
    <x v="2"/>
    <s v="Belt"/>
    <n v="0.8"/>
    <x v="5"/>
  </r>
  <r>
    <s v="AST1894"/>
    <x v="3"/>
    <x v="4"/>
    <x v="1"/>
    <s v="Machine-894"/>
    <n v="2025"/>
    <s v="2026-02-08"/>
    <x v="2"/>
    <x v="3"/>
    <n v="10.4"/>
    <n v="39146"/>
    <x v="5"/>
    <s v="Critical"/>
    <s v="Pending"/>
    <x v="1"/>
    <s v="Bearing"/>
    <n v="8.6"/>
    <x v="11"/>
  </r>
  <r>
    <s v="AST1895"/>
    <x v="0"/>
    <x v="1"/>
    <x v="5"/>
    <s v="Machine-895"/>
    <n v="2022"/>
    <s v="2026-07-24"/>
    <x v="1"/>
    <x v="5"/>
    <n v="8.1999999999999993"/>
    <n v="19141"/>
    <x v="4"/>
    <s v="High"/>
    <s v="Completed"/>
    <x v="2"/>
    <s v="Motor"/>
    <n v="8.1"/>
    <x v="1"/>
  </r>
  <r>
    <s v="AST1896"/>
    <x v="3"/>
    <x v="0"/>
    <x v="3"/>
    <s v="Machine-896"/>
    <n v="2019"/>
    <s v="2026-03-01"/>
    <x v="2"/>
    <x v="0"/>
    <n v="4.7"/>
    <n v="28364"/>
    <x v="3"/>
    <s v="Low"/>
    <s v="In Progress"/>
    <x v="1"/>
    <s v="Belt"/>
    <n v="1.2"/>
    <x v="5"/>
  </r>
  <r>
    <s v="AST1897"/>
    <x v="3"/>
    <x v="1"/>
    <x v="0"/>
    <s v="Machine-897"/>
    <n v="2019"/>
    <s v="2026-06-17"/>
    <x v="0"/>
    <x v="4"/>
    <n v="4.5"/>
    <n v="9710"/>
    <x v="2"/>
    <s v="Medium"/>
    <s v="In Progress"/>
    <x v="1"/>
    <s v="Belt"/>
    <n v="6.8"/>
    <x v="5"/>
  </r>
  <r>
    <s v="AST1898"/>
    <x v="4"/>
    <x v="0"/>
    <x v="4"/>
    <s v="Machine-898"/>
    <n v="2023"/>
    <s v="2026-03-08"/>
    <x v="0"/>
    <x v="4"/>
    <n v="7.9"/>
    <n v="11225"/>
    <x v="2"/>
    <s v="Critical"/>
    <s v="Pending"/>
    <x v="0"/>
    <s v="Motor"/>
    <n v="8.8000000000000007"/>
    <x v="4"/>
  </r>
  <r>
    <s v="AST1899"/>
    <x v="0"/>
    <x v="3"/>
    <x v="4"/>
    <s v="Machine-899"/>
    <n v="2014"/>
    <s v="2026-02-12"/>
    <x v="1"/>
    <x v="0"/>
    <n v="16.8"/>
    <n v="8118"/>
    <x v="4"/>
    <s v="Low"/>
    <s v="In Progress"/>
    <x v="0"/>
    <s v="None"/>
    <n v="2.1"/>
    <x v="9"/>
  </r>
  <r>
    <s v="AST1900"/>
    <x v="2"/>
    <x v="1"/>
    <x v="5"/>
    <s v="Machine-900"/>
    <n v="2015"/>
    <s v="2026-02-03"/>
    <x v="2"/>
    <x v="2"/>
    <n v="2.7"/>
    <n v="37999"/>
    <x v="4"/>
    <s v="High"/>
    <s v="Completed"/>
    <x v="2"/>
    <s v="Sensor"/>
    <n v="6.1"/>
    <x v="10"/>
  </r>
  <r>
    <s v="AST1901"/>
    <x v="0"/>
    <x v="4"/>
    <x v="3"/>
    <s v="Machine-901"/>
    <n v="2023"/>
    <s v="2026-01-28"/>
    <x v="2"/>
    <x v="4"/>
    <n v="16.399999999999999"/>
    <n v="42842"/>
    <x v="1"/>
    <s v="Critical"/>
    <s v="In Progress"/>
    <x v="2"/>
    <s v="None"/>
    <n v="1.8"/>
    <x v="4"/>
  </r>
  <r>
    <s v="AST1902"/>
    <x v="2"/>
    <x v="1"/>
    <x v="1"/>
    <s v="Machine-902"/>
    <n v="2016"/>
    <s v="2026-07-05"/>
    <x v="0"/>
    <x v="1"/>
    <n v="10.9"/>
    <n v="25740"/>
    <x v="5"/>
    <s v="Critical"/>
    <s v="In Progress"/>
    <x v="2"/>
    <s v="Valve"/>
    <n v="2.2000000000000002"/>
    <x v="6"/>
  </r>
  <r>
    <s v="AST1903"/>
    <x v="4"/>
    <x v="4"/>
    <x v="0"/>
    <s v="Machine-903"/>
    <n v="2025"/>
    <s v="2026-05-31"/>
    <x v="0"/>
    <x v="2"/>
    <n v="1.3"/>
    <n v="35426"/>
    <x v="2"/>
    <s v="Critical"/>
    <s v="In Progress"/>
    <x v="2"/>
    <s v="Valve"/>
    <n v="3.5"/>
    <x v="11"/>
  </r>
  <r>
    <s v="AST1904"/>
    <x v="0"/>
    <x v="2"/>
    <x v="5"/>
    <s v="Machine-904"/>
    <n v="2016"/>
    <s v="2026-02-06"/>
    <x v="1"/>
    <x v="5"/>
    <n v="15.9"/>
    <n v="22102"/>
    <x v="0"/>
    <s v="High"/>
    <s v="In Progress"/>
    <x v="0"/>
    <s v="Bearing"/>
    <n v="3.2"/>
    <x v="6"/>
  </r>
  <r>
    <s v="AST1905"/>
    <x v="1"/>
    <x v="2"/>
    <x v="4"/>
    <s v="Machine-905"/>
    <n v="2021"/>
    <s v="2026-04-23"/>
    <x v="2"/>
    <x v="2"/>
    <n v="17.8"/>
    <n v="8454"/>
    <x v="4"/>
    <s v="High"/>
    <s v="Completed"/>
    <x v="0"/>
    <s v="Motor"/>
    <n v="5.7"/>
    <x v="8"/>
  </r>
  <r>
    <s v="AST1906"/>
    <x v="1"/>
    <x v="4"/>
    <x v="6"/>
    <s v="Machine-906"/>
    <n v="2022"/>
    <s v="2026-07-13"/>
    <x v="2"/>
    <x v="5"/>
    <n v="9.9"/>
    <n v="14288"/>
    <x v="0"/>
    <s v="Critical"/>
    <s v="Completed"/>
    <x v="2"/>
    <s v="Motor"/>
    <n v="3.2"/>
    <x v="1"/>
  </r>
  <r>
    <s v="AST1907"/>
    <x v="3"/>
    <x v="1"/>
    <x v="0"/>
    <s v="Machine-907"/>
    <n v="2023"/>
    <s v="2026-04-20"/>
    <x v="1"/>
    <x v="2"/>
    <n v="16.600000000000001"/>
    <n v="9360"/>
    <x v="1"/>
    <s v="Critical"/>
    <s v="In Progress"/>
    <x v="2"/>
    <s v="Bearing"/>
    <n v="8.6999999999999993"/>
    <x v="4"/>
  </r>
  <r>
    <s v="AST1908"/>
    <x v="0"/>
    <x v="0"/>
    <x v="2"/>
    <s v="Machine-908"/>
    <n v="2018"/>
    <s v="2026-07-07"/>
    <x v="0"/>
    <x v="3"/>
    <n v="13.2"/>
    <n v="22937"/>
    <x v="4"/>
    <s v="High"/>
    <s v="In Progress"/>
    <x v="2"/>
    <s v="None"/>
    <n v="7.5"/>
    <x v="2"/>
  </r>
  <r>
    <s v="AST1909"/>
    <x v="0"/>
    <x v="0"/>
    <x v="1"/>
    <s v="Machine-909"/>
    <n v="2024"/>
    <s v="2026-07-18"/>
    <x v="0"/>
    <x v="0"/>
    <n v="14.4"/>
    <n v="22309"/>
    <x v="4"/>
    <s v="Low"/>
    <s v="Pending"/>
    <x v="1"/>
    <s v="Bearing"/>
    <n v="2.8"/>
    <x v="0"/>
  </r>
  <r>
    <s v="AST1910"/>
    <x v="1"/>
    <x v="2"/>
    <x v="4"/>
    <s v="Machine-910"/>
    <n v="2023"/>
    <s v="2026-04-07"/>
    <x v="0"/>
    <x v="4"/>
    <n v="14.7"/>
    <n v="34053"/>
    <x v="3"/>
    <s v="Medium"/>
    <s v="Completed"/>
    <x v="1"/>
    <s v="Bearing"/>
    <n v="9.5"/>
    <x v="4"/>
  </r>
  <r>
    <s v="AST1911"/>
    <x v="1"/>
    <x v="4"/>
    <x v="5"/>
    <s v="Machine-911"/>
    <n v="2025"/>
    <s v="2026-07-11"/>
    <x v="0"/>
    <x v="5"/>
    <n v="11.2"/>
    <n v="13172"/>
    <x v="0"/>
    <s v="Critical"/>
    <s v="Pending"/>
    <x v="2"/>
    <s v="Belt"/>
    <n v="4.0999999999999996"/>
    <x v="11"/>
  </r>
  <r>
    <s v="AST1912"/>
    <x v="4"/>
    <x v="3"/>
    <x v="6"/>
    <s v="Machine-912"/>
    <n v="2023"/>
    <s v="2026-03-02"/>
    <x v="1"/>
    <x v="3"/>
    <n v="15.9"/>
    <n v="16697"/>
    <x v="3"/>
    <s v="Critical"/>
    <s v="In Progress"/>
    <x v="1"/>
    <s v="Valve"/>
    <n v="6.2"/>
    <x v="4"/>
  </r>
  <r>
    <s v="AST1913"/>
    <x v="4"/>
    <x v="4"/>
    <x v="0"/>
    <s v="Machine-913"/>
    <n v="2022"/>
    <s v="2026-05-04"/>
    <x v="0"/>
    <x v="2"/>
    <n v="7.8"/>
    <n v="30805"/>
    <x v="3"/>
    <s v="Medium"/>
    <s v="Pending"/>
    <x v="2"/>
    <s v="Bearing"/>
    <n v="2.2000000000000002"/>
    <x v="1"/>
  </r>
  <r>
    <s v="AST1914"/>
    <x v="0"/>
    <x v="0"/>
    <x v="3"/>
    <s v="Machine-914"/>
    <n v="2019"/>
    <s v="2026-06-19"/>
    <x v="0"/>
    <x v="3"/>
    <n v="14"/>
    <n v="33202"/>
    <x v="1"/>
    <s v="Critical"/>
    <s v="Pending"/>
    <x v="0"/>
    <s v="Bearing"/>
    <n v="3.3"/>
    <x v="5"/>
  </r>
  <r>
    <s v="AST1915"/>
    <x v="3"/>
    <x v="4"/>
    <x v="6"/>
    <s v="Machine-915"/>
    <n v="2022"/>
    <s v="2026-02-25"/>
    <x v="1"/>
    <x v="2"/>
    <n v="12.3"/>
    <n v="28450"/>
    <x v="1"/>
    <s v="Critical"/>
    <s v="In Progress"/>
    <x v="2"/>
    <s v="Sensor"/>
    <n v="9.1999999999999993"/>
    <x v="1"/>
  </r>
  <r>
    <s v="AST1916"/>
    <x v="1"/>
    <x v="0"/>
    <x v="3"/>
    <s v="Machine-916"/>
    <n v="2018"/>
    <s v="2026-05-05"/>
    <x v="1"/>
    <x v="2"/>
    <n v="8.3000000000000007"/>
    <n v="16003"/>
    <x v="2"/>
    <s v="Medium"/>
    <s v="Pending"/>
    <x v="0"/>
    <s v="None"/>
    <n v="1.5"/>
    <x v="2"/>
  </r>
  <r>
    <s v="AST1917"/>
    <x v="4"/>
    <x v="2"/>
    <x v="6"/>
    <s v="Machine-917"/>
    <n v="2023"/>
    <s v="2026-06-06"/>
    <x v="1"/>
    <x v="0"/>
    <n v="0.9"/>
    <n v="26350"/>
    <x v="0"/>
    <s v="High"/>
    <s v="In Progress"/>
    <x v="1"/>
    <s v="Bearing"/>
    <n v="6.7"/>
    <x v="4"/>
  </r>
  <r>
    <s v="AST1918"/>
    <x v="4"/>
    <x v="1"/>
    <x v="0"/>
    <s v="Machine-918"/>
    <n v="2022"/>
    <s v="2026-02-23"/>
    <x v="2"/>
    <x v="5"/>
    <n v="7.4"/>
    <n v="16529"/>
    <x v="3"/>
    <s v="Medium"/>
    <s v="In Progress"/>
    <x v="2"/>
    <s v="Valve"/>
    <n v="2.5"/>
    <x v="1"/>
  </r>
  <r>
    <s v="AST1919"/>
    <x v="0"/>
    <x v="4"/>
    <x v="2"/>
    <s v="Machine-919"/>
    <n v="2025"/>
    <s v="2026-03-05"/>
    <x v="0"/>
    <x v="5"/>
    <n v="2.2999999999999998"/>
    <n v="27579"/>
    <x v="1"/>
    <s v="Low"/>
    <s v="Completed"/>
    <x v="2"/>
    <s v="Sensor"/>
    <n v="0.7"/>
    <x v="11"/>
  </r>
  <r>
    <s v="AST1920"/>
    <x v="1"/>
    <x v="4"/>
    <x v="4"/>
    <s v="Machine-920"/>
    <n v="2024"/>
    <s v="2026-07-17"/>
    <x v="1"/>
    <x v="4"/>
    <n v="12"/>
    <n v="10097"/>
    <x v="5"/>
    <s v="High"/>
    <s v="Completed"/>
    <x v="0"/>
    <s v="Bearing"/>
    <n v="5.3"/>
    <x v="0"/>
  </r>
  <r>
    <s v="AST1921"/>
    <x v="3"/>
    <x v="4"/>
    <x v="1"/>
    <s v="Machine-921"/>
    <n v="2025"/>
    <s v="2026-07-15"/>
    <x v="1"/>
    <x v="5"/>
    <n v="11.1"/>
    <n v="11451"/>
    <x v="0"/>
    <s v="Critical"/>
    <s v="Completed"/>
    <x v="1"/>
    <s v="Sensor"/>
    <n v="8"/>
    <x v="11"/>
  </r>
  <r>
    <s v="AST1922"/>
    <x v="0"/>
    <x v="0"/>
    <x v="4"/>
    <s v="Machine-922"/>
    <n v="2020"/>
    <s v="2026-05-12"/>
    <x v="0"/>
    <x v="1"/>
    <n v="5.0999999999999996"/>
    <n v="44494"/>
    <x v="2"/>
    <s v="Critical"/>
    <s v="In Progress"/>
    <x v="2"/>
    <s v="Valve"/>
    <n v="1.4"/>
    <x v="3"/>
  </r>
  <r>
    <s v="AST1923"/>
    <x v="4"/>
    <x v="3"/>
    <x v="4"/>
    <s v="Machine-923"/>
    <n v="2020"/>
    <s v="2026-05-24"/>
    <x v="2"/>
    <x v="5"/>
    <n v="9.4"/>
    <n v="26561"/>
    <x v="0"/>
    <s v="Critical"/>
    <s v="Pending"/>
    <x v="2"/>
    <s v="Sensor"/>
    <n v="7.7"/>
    <x v="3"/>
  </r>
  <r>
    <s v="AST1924"/>
    <x v="3"/>
    <x v="2"/>
    <x v="6"/>
    <s v="Machine-924"/>
    <n v="2025"/>
    <s v="2026-01-28"/>
    <x v="2"/>
    <x v="4"/>
    <n v="14"/>
    <n v="30800"/>
    <x v="3"/>
    <s v="Critical"/>
    <s v="Pending"/>
    <x v="0"/>
    <s v="None"/>
    <n v="3.5"/>
    <x v="11"/>
  </r>
  <r>
    <s v="AST1925"/>
    <x v="0"/>
    <x v="4"/>
    <x v="6"/>
    <s v="Machine-925"/>
    <n v="2016"/>
    <s v="2026-07-27"/>
    <x v="0"/>
    <x v="4"/>
    <n v="10.9"/>
    <n v="6997"/>
    <x v="4"/>
    <s v="Critical"/>
    <s v="Pending"/>
    <x v="2"/>
    <s v="Belt"/>
    <n v="7.4"/>
    <x v="6"/>
  </r>
  <r>
    <s v="AST1926"/>
    <x v="1"/>
    <x v="4"/>
    <x v="2"/>
    <s v="Machine-926"/>
    <n v="2023"/>
    <s v="2026-07-14"/>
    <x v="0"/>
    <x v="4"/>
    <n v="6"/>
    <n v="23642"/>
    <x v="4"/>
    <s v="Low"/>
    <s v="In Progress"/>
    <x v="1"/>
    <s v="Belt"/>
    <n v="6.2"/>
    <x v="4"/>
  </r>
  <r>
    <s v="AST1927"/>
    <x v="1"/>
    <x v="1"/>
    <x v="2"/>
    <s v="Machine-927"/>
    <n v="2014"/>
    <s v="2026-03-10"/>
    <x v="0"/>
    <x v="4"/>
    <n v="6"/>
    <n v="44230"/>
    <x v="4"/>
    <s v="High"/>
    <s v="In Progress"/>
    <x v="1"/>
    <s v="Valve"/>
    <n v="5.4"/>
    <x v="9"/>
  </r>
  <r>
    <s v="AST1928"/>
    <x v="0"/>
    <x v="4"/>
    <x v="5"/>
    <s v="Machine-928"/>
    <n v="2025"/>
    <s v="2026-07-07"/>
    <x v="1"/>
    <x v="4"/>
    <n v="2.7"/>
    <n v="2392"/>
    <x v="4"/>
    <s v="Low"/>
    <s v="Completed"/>
    <x v="0"/>
    <s v="Valve"/>
    <n v="8.8000000000000007"/>
    <x v="11"/>
  </r>
  <r>
    <s v="AST1929"/>
    <x v="3"/>
    <x v="3"/>
    <x v="0"/>
    <s v="Machine-929"/>
    <n v="2015"/>
    <s v="2026-01-10"/>
    <x v="1"/>
    <x v="5"/>
    <n v="9"/>
    <n v="37353"/>
    <x v="1"/>
    <s v="Critical"/>
    <s v="Completed"/>
    <x v="2"/>
    <s v="Bearing"/>
    <n v="4.5999999999999996"/>
    <x v="10"/>
  </r>
  <r>
    <s v="AST1930"/>
    <x v="4"/>
    <x v="1"/>
    <x v="4"/>
    <s v="Machine-930"/>
    <n v="2018"/>
    <s v="2026-07-04"/>
    <x v="1"/>
    <x v="2"/>
    <n v="10.4"/>
    <n v="12375"/>
    <x v="4"/>
    <s v="High"/>
    <s v="Pending"/>
    <x v="1"/>
    <s v="Motor"/>
    <n v="8.1"/>
    <x v="2"/>
  </r>
  <r>
    <s v="AST1931"/>
    <x v="2"/>
    <x v="1"/>
    <x v="4"/>
    <s v="Machine-931"/>
    <n v="2025"/>
    <s v="2026-04-06"/>
    <x v="0"/>
    <x v="3"/>
    <n v="16.899999999999999"/>
    <n v="10369"/>
    <x v="4"/>
    <s v="Critical"/>
    <s v="Completed"/>
    <x v="2"/>
    <s v="Valve"/>
    <n v="2.2000000000000002"/>
    <x v="11"/>
  </r>
  <r>
    <s v="AST1932"/>
    <x v="0"/>
    <x v="0"/>
    <x v="3"/>
    <s v="Machine-932"/>
    <n v="2021"/>
    <s v="2026-01-18"/>
    <x v="0"/>
    <x v="0"/>
    <n v="2.1"/>
    <n v="31554"/>
    <x v="3"/>
    <s v="Low"/>
    <s v="Completed"/>
    <x v="1"/>
    <s v="Valve"/>
    <n v="6.1"/>
    <x v="8"/>
  </r>
  <r>
    <s v="AST1933"/>
    <x v="2"/>
    <x v="2"/>
    <x v="4"/>
    <s v="Machine-933"/>
    <n v="2015"/>
    <s v="2026-03-31"/>
    <x v="1"/>
    <x v="3"/>
    <n v="5.3"/>
    <n v="29429"/>
    <x v="2"/>
    <s v="High"/>
    <s v="In Progress"/>
    <x v="1"/>
    <s v="Valve"/>
    <n v="9.4"/>
    <x v="10"/>
  </r>
  <r>
    <s v="AST1934"/>
    <x v="1"/>
    <x v="4"/>
    <x v="6"/>
    <s v="Machine-934"/>
    <n v="2022"/>
    <s v="2026-05-19"/>
    <x v="0"/>
    <x v="0"/>
    <n v="4.3"/>
    <n v="13186"/>
    <x v="3"/>
    <s v="Low"/>
    <s v="Completed"/>
    <x v="1"/>
    <s v="Belt"/>
    <n v="6.6"/>
    <x v="1"/>
  </r>
  <r>
    <s v="AST1935"/>
    <x v="2"/>
    <x v="1"/>
    <x v="6"/>
    <s v="Machine-935"/>
    <n v="2020"/>
    <s v="2026-03-26"/>
    <x v="0"/>
    <x v="0"/>
    <n v="15.7"/>
    <n v="32525"/>
    <x v="4"/>
    <s v="Medium"/>
    <s v="Completed"/>
    <x v="0"/>
    <s v="Motor"/>
    <n v="1.4"/>
    <x v="3"/>
  </r>
  <r>
    <s v="AST1936"/>
    <x v="1"/>
    <x v="2"/>
    <x v="5"/>
    <s v="Machine-936"/>
    <n v="2023"/>
    <s v="2026-02-07"/>
    <x v="2"/>
    <x v="2"/>
    <n v="1.9"/>
    <n v="4920"/>
    <x v="4"/>
    <s v="Critical"/>
    <s v="In Progress"/>
    <x v="1"/>
    <s v="Valve"/>
    <n v="3.6"/>
    <x v="4"/>
  </r>
  <r>
    <s v="AST1937"/>
    <x v="0"/>
    <x v="2"/>
    <x v="6"/>
    <s v="Machine-937"/>
    <n v="2022"/>
    <s v="2026-07-14"/>
    <x v="0"/>
    <x v="4"/>
    <n v="12.9"/>
    <n v="24764"/>
    <x v="3"/>
    <s v="High"/>
    <s v="Pending"/>
    <x v="0"/>
    <s v="Belt"/>
    <n v="8.5"/>
    <x v="1"/>
  </r>
  <r>
    <s v="AST1938"/>
    <x v="4"/>
    <x v="2"/>
    <x v="2"/>
    <s v="Machine-938"/>
    <n v="2016"/>
    <s v="2026-06-12"/>
    <x v="0"/>
    <x v="4"/>
    <n v="9.1"/>
    <n v="17919"/>
    <x v="5"/>
    <s v="Low"/>
    <s v="Pending"/>
    <x v="2"/>
    <s v="None"/>
    <n v="3.8"/>
    <x v="6"/>
  </r>
  <r>
    <s v="AST1939"/>
    <x v="3"/>
    <x v="0"/>
    <x v="3"/>
    <s v="Machine-939"/>
    <n v="2014"/>
    <s v="2026-04-04"/>
    <x v="0"/>
    <x v="5"/>
    <n v="10.3"/>
    <n v="14016"/>
    <x v="1"/>
    <s v="High"/>
    <s v="Completed"/>
    <x v="1"/>
    <s v="Bearing"/>
    <n v="2.4"/>
    <x v="9"/>
  </r>
  <r>
    <s v="AST1940"/>
    <x v="1"/>
    <x v="4"/>
    <x v="6"/>
    <s v="Machine-940"/>
    <n v="2019"/>
    <s v="2026-05-15"/>
    <x v="0"/>
    <x v="1"/>
    <n v="16.399999999999999"/>
    <n v="18130"/>
    <x v="2"/>
    <s v="Low"/>
    <s v="Pending"/>
    <x v="2"/>
    <s v="Bearing"/>
    <n v="6.6"/>
    <x v="5"/>
  </r>
  <r>
    <s v="AST1941"/>
    <x v="3"/>
    <x v="4"/>
    <x v="3"/>
    <s v="Machine-941"/>
    <n v="2024"/>
    <s v="2026-05-03"/>
    <x v="1"/>
    <x v="2"/>
    <n v="11.4"/>
    <n v="38998"/>
    <x v="0"/>
    <s v="Critical"/>
    <s v="Pending"/>
    <x v="1"/>
    <s v="Valve"/>
    <n v="5.2"/>
    <x v="0"/>
  </r>
  <r>
    <s v="AST1942"/>
    <x v="2"/>
    <x v="4"/>
    <x v="1"/>
    <s v="Machine-942"/>
    <n v="2021"/>
    <s v="2026-07-11"/>
    <x v="0"/>
    <x v="5"/>
    <n v="16.100000000000001"/>
    <n v="11539"/>
    <x v="5"/>
    <s v="Medium"/>
    <s v="Completed"/>
    <x v="0"/>
    <s v="Valve"/>
    <n v="8.4"/>
    <x v="8"/>
  </r>
  <r>
    <s v="AST1943"/>
    <x v="3"/>
    <x v="4"/>
    <x v="4"/>
    <s v="Machine-943"/>
    <n v="2015"/>
    <s v="2026-01-15"/>
    <x v="0"/>
    <x v="5"/>
    <n v="5.4"/>
    <n v="14225"/>
    <x v="5"/>
    <s v="Low"/>
    <s v="In Progress"/>
    <x v="1"/>
    <s v="Sensor"/>
    <n v="9"/>
    <x v="10"/>
  </r>
  <r>
    <s v="AST1944"/>
    <x v="4"/>
    <x v="1"/>
    <x v="1"/>
    <s v="Machine-944"/>
    <n v="2016"/>
    <s v="2026-05-31"/>
    <x v="2"/>
    <x v="4"/>
    <n v="7.8"/>
    <n v="5529"/>
    <x v="0"/>
    <s v="Medium"/>
    <s v="Pending"/>
    <x v="0"/>
    <s v="None"/>
    <n v="3"/>
    <x v="6"/>
  </r>
  <r>
    <s v="AST1945"/>
    <x v="0"/>
    <x v="0"/>
    <x v="6"/>
    <s v="Machine-945"/>
    <n v="2016"/>
    <s v="2026-04-24"/>
    <x v="0"/>
    <x v="5"/>
    <n v="7.7"/>
    <n v="43135"/>
    <x v="5"/>
    <s v="Low"/>
    <s v="In Progress"/>
    <x v="2"/>
    <s v="Belt"/>
    <n v="3.8"/>
    <x v="6"/>
  </r>
  <r>
    <s v="AST1946"/>
    <x v="2"/>
    <x v="4"/>
    <x v="6"/>
    <s v="Machine-946"/>
    <n v="2019"/>
    <s v="2026-04-30"/>
    <x v="2"/>
    <x v="1"/>
    <n v="2.5"/>
    <n v="7435"/>
    <x v="4"/>
    <s v="Low"/>
    <s v="Completed"/>
    <x v="2"/>
    <s v="Belt"/>
    <n v="6.5"/>
    <x v="5"/>
  </r>
  <r>
    <s v="AST1947"/>
    <x v="1"/>
    <x v="4"/>
    <x v="0"/>
    <s v="Machine-947"/>
    <n v="2014"/>
    <s v="2026-07-16"/>
    <x v="1"/>
    <x v="4"/>
    <n v="1.9"/>
    <n v="17669"/>
    <x v="3"/>
    <s v="Medium"/>
    <s v="Pending"/>
    <x v="1"/>
    <s v="Motor"/>
    <n v="3.4"/>
    <x v="9"/>
  </r>
  <r>
    <s v="AST1948"/>
    <x v="4"/>
    <x v="2"/>
    <x v="4"/>
    <s v="Machine-948"/>
    <n v="2020"/>
    <s v="2026-06-30"/>
    <x v="0"/>
    <x v="2"/>
    <n v="7.7"/>
    <n v="13836"/>
    <x v="3"/>
    <s v="Medium"/>
    <s v="Completed"/>
    <x v="2"/>
    <s v="Sensor"/>
    <n v="7.1"/>
    <x v="3"/>
  </r>
  <r>
    <s v="AST1949"/>
    <x v="3"/>
    <x v="0"/>
    <x v="6"/>
    <s v="Machine-949"/>
    <n v="2018"/>
    <s v="2026-01-24"/>
    <x v="0"/>
    <x v="0"/>
    <n v="9.6999999999999993"/>
    <n v="42854"/>
    <x v="5"/>
    <s v="Medium"/>
    <s v="Completed"/>
    <x v="1"/>
    <s v="Valve"/>
    <n v="2"/>
    <x v="2"/>
  </r>
  <r>
    <s v="AST1950"/>
    <x v="3"/>
    <x v="0"/>
    <x v="3"/>
    <s v="Machine-950"/>
    <n v="2023"/>
    <s v="2026-02-23"/>
    <x v="1"/>
    <x v="2"/>
    <n v="4.0999999999999996"/>
    <n v="34514"/>
    <x v="2"/>
    <s v="High"/>
    <s v="Completed"/>
    <x v="1"/>
    <s v="Motor"/>
    <n v="3"/>
    <x v="4"/>
  </r>
  <r>
    <s v="AST1951"/>
    <x v="0"/>
    <x v="4"/>
    <x v="6"/>
    <s v="Machine-951"/>
    <n v="2021"/>
    <s v="2026-03-08"/>
    <x v="1"/>
    <x v="3"/>
    <n v="8.8000000000000007"/>
    <n v="32121"/>
    <x v="2"/>
    <s v="High"/>
    <s v="In Progress"/>
    <x v="1"/>
    <s v="Valve"/>
    <n v="6.8"/>
    <x v="8"/>
  </r>
  <r>
    <s v="AST1952"/>
    <x v="0"/>
    <x v="0"/>
    <x v="2"/>
    <s v="Machine-952"/>
    <n v="2014"/>
    <s v="2026-03-24"/>
    <x v="2"/>
    <x v="3"/>
    <n v="7.9"/>
    <n v="23435"/>
    <x v="3"/>
    <s v="Low"/>
    <s v="Completed"/>
    <x v="2"/>
    <s v="Sensor"/>
    <n v="2"/>
    <x v="9"/>
  </r>
  <r>
    <s v="AST1953"/>
    <x v="0"/>
    <x v="3"/>
    <x v="2"/>
    <s v="Machine-953"/>
    <n v="2022"/>
    <s v="2026-02-17"/>
    <x v="1"/>
    <x v="5"/>
    <n v="10.6"/>
    <n v="30006"/>
    <x v="5"/>
    <s v="Critical"/>
    <s v="In Progress"/>
    <x v="0"/>
    <s v="Sensor"/>
    <n v="7.4"/>
    <x v="1"/>
  </r>
  <r>
    <s v="AST1954"/>
    <x v="3"/>
    <x v="3"/>
    <x v="4"/>
    <s v="Machine-954"/>
    <n v="2023"/>
    <s v="2026-03-28"/>
    <x v="0"/>
    <x v="3"/>
    <n v="13.9"/>
    <n v="34724"/>
    <x v="0"/>
    <s v="Critical"/>
    <s v="In Progress"/>
    <x v="2"/>
    <s v="Belt"/>
    <n v="4.3"/>
    <x v="4"/>
  </r>
  <r>
    <s v="AST1955"/>
    <x v="2"/>
    <x v="2"/>
    <x v="4"/>
    <s v="Machine-955"/>
    <n v="2014"/>
    <s v="2026-02-11"/>
    <x v="2"/>
    <x v="0"/>
    <n v="17"/>
    <n v="14506"/>
    <x v="2"/>
    <s v="Medium"/>
    <s v="Completed"/>
    <x v="1"/>
    <s v="Sensor"/>
    <n v="8"/>
    <x v="9"/>
  </r>
  <r>
    <s v="AST1956"/>
    <x v="4"/>
    <x v="2"/>
    <x v="2"/>
    <s v="Machine-956"/>
    <n v="2014"/>
    <s v="2026-01-24"/>
    <x v="0"/>
    <x v="4"/>
    <n v="3.4"/>
    <n v="1555"/>
    <x v="5"/>
    <s v="Medium"/>
    <s v="Completed"/>
    <x v="0"/>
    <s v="Sensor"/>
    <n v="3.4"/>
    <x v="9"/>
  </r>
  <r>
    <s v="AST1957"/>
    <x v="1"/>
    <x v="3"/>
    <x v="1"/>
    <s v="Machine-957"/>
    <n v="2016"/>
    <s v="2026-03-02"/>
    <x v="1"/>
    <x v="3"/>
    <n v="12.5"/>
    <n v="26027"/>
    <x v="0"/>
    <s v="Critical"/>
    <s v="Completed"/>
    <x v="2"/>
    <s v="Bearing"/>
    <n v="5"/>
    <x v="6"/>
  </r>
  <r>
    <s v="AST1958"/>
    <x v="1"/>
    <x v="3"/>
    <x v="3"/>
    <s v="Machine-958"/>
    <n v="2024"/>
    <s v="2026-04-11"/>
    <x v="0"/>
    <x v="4"/>
    <n v="12.9"/>
    <n v="7779"/>
    <x v="1"/>
    <s v="Medium"/>
    <s v="In Progress"/>
    <x v="0"/>
    <s v="Valve"/>
    <n v="7.8"/>
    <x v="0"/>
  </r>
  <r>
    <s v="AST1959"/>
    <x v="3"/>
    <x v="1"/>
    <x v="5"/>
    <s v="Machine-959"/>
    <n v="2018"/>
    <s v="2026-07-29"/>
    <x v="1"/>
    <x v="2"/>
    <n v="9"/>
    <n v="39932"/>
    <x v="0"/>
    <s v="Medium"/>
    <s v="Pending"/>
    <x v="0"/>
    <s v="Motor"/>
    <n v="4"/>
    <x v="2"/>
  </r>
  <r>
    <s v="AST1960"/>
    <x v="0"/>
    <x v="1"/>
    <x v="6"/>
    <s v="Machine-960"/>
    <n v="2019"/>
    <s v="2026-05-09"/>
    <x v="1"/>
    <x v="1"/>
    <n v="11.8"/>
    <n v="10549"/>
    <x v="1"/>
    <s v="Medium"/>
    <s v="Completed"/>
    <x v="0"/>
    <s v="Sensor"/>
    <n v="4.5999999999999996"/>
    <x v="5"/>
  </r>
  <r>
    <s v="AST1961"/>
    <x v="1"/>
    <x v="3"/>
    <x v="0"/>
    <s v="Machine-961"/>
    <n v="2019"/>
    <s v="2026-04-09"/>
    <x v="0"/>
    <x v="4"/>
    <n v="12.3"/>
    <n v="33000"/>
    <x v="0"/>
    <s v="High"/>
    <s v="In Progress"/>
    <x v="0"/>
    <s v="Motor"/>
    <n v="4.3"/>
    <x v="5"/>
  </r>
  <r>
    <s v="AST1962"/>
    <x v="3"/>
    <x v="4"/>
    <x v="4"/>
    <s v="Machine-962"/>
    <n v="2022"/>
    <s v="2026-01-28"/>
    <x v="1"/>
    <x v="1"/>
    <n v="12"/>
    <n v="28007"/>
    <x v="0"/>
    <s v="Medium"/>
    <s v="In Progress"/>
    <x v="0"/>
    <s v="Belt"/>
    <n v="5.3"/>
    <x v="1"/>
  </r>
  <r>
    <s v="AST1963"/>
    <x v="0"/>
    <x v="3"/>
    <x v="3"/>
    <s v="Machine-963"/>
    <n v="2024"/>
    <s v="2026-04-27"/>
    <x v="2"/>
    <x v="4"/>
    <n v="7.9"/>
    <n v="5072"/>
    <x v="3"/>
    <s v="Critical"/>
    <s v="In Progress"/>
    <x v="1"/>
    <s v="None"/>
    <n v="1.6"/>
    <x v="0"/>
  </r>
  <r>
    <s v="AST1964"/>
    <x v="4"/>
    <x v="3"/>
    <x v="3"/>
    <s v="Machine-964"/>
    <n v="2021"/>
    <s v="2026-05-09"/>
    <x v="0"/>
    <x v="5"/>
    <n v="17.5"/>
    <n v="8818"/>
    <x v="4"/>
    <s v="Critical"/>
    <s v="Pending"/>
    <x v="2"/>
    <s v="None"/>
    <n v="1.3"/>
    <x v="8"/>
  </r>
  <r>
    <s v="AST1965"/>
    <x v="2"/>
    <x v="0"/>
    <x v="0"/>
    <s v="Machine-965"/>
    <n v="2014"/>
    <s v="2026-03-28"/>
    <x v="1"/>
    <x v="5"/>
    <n v="13.2"/>
    <n v="31318"/>
    <x v="1"/>
    <s v="Low"/>
    <s v="In Progress"/>
    <x v="2"/>
    <s v="Bearing"/>
    <n v="1.7"/>
    <x v="9"/>
  </r>
  <r>
    <s v="AST1966"/>
    <x v="4"/>
    <x v="4"/>
    <x v="6"/>
    <s v="Machine-966"/>
    <n v="2021"/>
    <s v="2026-04-28"/>
    <x v="1"/>
    <x v="2"/>
    <n v="7.9"/>
    <n v="20908"/>
    <x v="0"/>
    <s v="High"/>
    <s v="Completed"/>
    <x v="2"/>
    <s v="Sensor"/>
    <n v="4.5"/>
    <x v="8"/>
  </r>
  <r>
    <s v="AST1967"/>
    <x v="4"/>
    <x v="4"/>
    <x v="6"/>
    <s v="Machine-967"/>
    <n v="2021"/>
    <s v="2026-03-25"/>
    <x v="0"/>
    <x v="0"/>
    <n v="1.1000000000000001"/>
    <n v="27466"/>
    <x v="4"/>
    <s v="Medium"/>
    <s v="Completed"/>
    <x v="1"/>
    <s v="Bearing"/>
    <n v="1.7"/>
    <x v="8"/>
  </r>
  <r>
    <s v="AST1968"/>
    <x v="3"/>
    <x v="3"/>
    <x v="4"/>
    <s v="Machine-968"/>
    <n v="2016"/>
    <s v="2026-06-12"/>
    <x v="0"/>
    <x v="4"/>
    <n v="12.6"/>
    <n v="17497"/>
    <x v="5"/>
    <s v="Critical"/>
    <s v="Completed"/>
    <x v="0"/>
    <s v="Sensor"/>
    <n v="4"/>
    <x v="6"/>
  </r>
  <r>
    <s v="AST1969"/>
    <x v="0"/>
    <x v="3"/>
    <x v="6"/>
    <s v="Machine-969"/>
    <n v="2016"/>
    <s v="2026-06-05"/>
    <x v="2"/>
    <x v="1"/>
    <n v="6.4"/>
    <n v="43229"/>
    <x v="5"/>
    <s v="High"/>
    <s v="In Progress"/>
    <x v="2"/>
    <s v="Bearing"/>
    <n v="2.2000000000000002"/>
    <x v="6"/>
  </r>
  <r>
    <s v="AST1970"/>
    <x v="0"/>
    <x v="3"/>
    <x v="1"/>
    <s v="Machine-970"/>
    <n v="2025"/>
    <s v="2026-03-07"/>
    <x v="1"/>
    <x v="5"/>
    <n v="5.0999999999999996"/>
    <n v="21370"/>
    <x v="2"/>
    <s v="Medium"/>
    <s v="Pending"/>
    <x v="0"/>
    <s v="Sensor"/>
    <n v="5.9"/>
    <x v="11"/>
  </r>
  <r>
    <s v="AST1971"/>
    <x v="3"/>
    <x v="0"/>
    <x v="3"/>
    <s v="Machine-971"/>
    <n v="2017"/>
    <s v="2026-07-14"/>
    <x v="1"/>
    <x v="3"/>
    <n v="5.3"/>
    <n v="4497"/>
    <x v="2"/>
    <s v="Critical"/>
    <s v="Completed"/>
    <x v="1"/>
    <s v="Sensor"/>
    <n v="3.1"/>
    <x v="7"/>
  </r>
  <r>
    <s v="AST1972"/>
    <x v="0"/>
    <x v="3"/>
    <x v="3"/>
    <s v="Machine-972"/>
    <n v="2020"/>
    <s v="2026-02-23"/>
    <x v="0"/>
    <x v="2"/>
    <n v="8.6"/>
    <n v="43105"/>
    <x v="3"/>
    <s v="Low"/>
    <s v="Completed"/>
    <x v="0"/>
    <s v="Bearing"/>
    <n v="7.2"/>
    <x v="3"/>
  </r>
  <r>
    <s v="AST1973"/>
    <x v="2"/>
    <x v="0"/>
    <x v="3"/>
    <s v="Machine-973"/>
    <n v="2017"/>
    <s v="2026-01-17"/>
    <x v="1"/>
    <x v="4"/>
    <n v="10.8"/>
    <n v="43100"/>
    <x v="2"/>
    <s v="High"/>
    <s v="Pending"/>
    <x v="2"/>
    <s v="Valve"/>
    <n v="9.3000000000000007"/>
    <x v="7"/>
  </r>
  <r>
    <s v="AST1974"/>
    <x v="4"/>
    <x v="0"/>
    <x v="4"/>
    <s v="Machine-974"/>
    <n v="2014"/>
    <s v="2026-03-29"/>
    <x v="1"/>
    <x v="3"/>
    <n v="8.6"/>
    <n v="34200"/>
    <x v="4"/>
    <s v="Medium"/>
    <s v="Pending"/>
    <x v="2"/>
    <s v="Sensor"/>
    <n v="4.3"/>
    <x v="9"/>
  </r>
  <r>
    <s v="AST1975"/>
    <x v="0"/>
    <x v="3"/>
    <x v="6"/>
    <s v="Machine-975"/>
    <n v="2024"/>
    <s v="2026-05-27"/>
    <x v="2"/>
    <x v="1"/>
    <n v="4.0999999999999996"/>
    <n v="36207"/>
    <x v="3"/>
    <s v="High"/>
    <s v="In Progress"/>
    <x v="2"/>
    <s v="Valve"/>
    <n v="6.9"/>
    <x v="0"/>
  </r>
  <r>
    <s v="AST1976"/>
    <x v="2"/>
    <x v="1"/>
    <x v="0"/>
    <s v="Machine-976"/>
    <n v="2014"/>
    <s v="2026-02-09"/>
    <x v="1"/>
    <x v="5"/>
    <n v="8.1"/>
    <n v="3034"/>
    <x v="3"/>
    <s v="Critical"/>
    <s v="Completed"/>
    <x v="2"/>
    <s v="Belt"/>
    <n v="1.8"/>
    <x v="9"/>
  </r>
  <r>
    <s v="AST1977"/>
    <x v="0"/>
    <x v="3"/>
    <x v="0"/>
    <s v="Machine-977"/>
    <n v="2023"/>
    <s v="2026-02-01"/>
    <x v="0"/>
    <x v="1"/>
    <n v="10.5"/>
    <n v="13206"/>
    <x v="4"/>
    <s v="Critical"/>
    <s v="Pending"/>
    <x v="2"/>
    <s v="Sensor"/>
    <n v="7.6"/>
    <x v="4"/>
  </r>
  <r>
    <s v="AST1978"/>
    <x v="4"/>
    <x v="0"/>
    <x v="2"/>
    <s v="Machine-978"/>
    <n v="2020"/>
    <s v="2026-06-03"/>
    <x v="0"/>
    <x v="1"/>
    <n v="12.1"/>
    <n v="42992"/>
    <x v="5"/>
    <s v="High"/>
    <s v="Pending"/>
    <x v="1"/>
    <s v="Belt"/>
    <n v="4.2"/>
    <x v="3"/>
  </r>
  <r>
    <s v="AST1979"/>
    <x v="3"/>
    <x v="0"/>
    <x v="2"/>
    <s v="Machine-979"/>
    <n v="2020"/>
    <s v="2026-05-07"/>
    <x v="2"/>
    <x v="3"/>
    <n v="16.7"/>
    <n v="13140"/>
    <x v="1"/>
    <s v="High"/>
    <s v="Completed"/>
    <x v="1"/>
    <s v="Sensor"/>
    <n v="7.7"/>
    <x v="3"/>
  </r>
  <r>
    <s v="AST1980"/>
    <x v="0"/>
    <x v="3"/>
    <x v="6"/>
    <s v="Machine-980"/>
    <n v="2024"/>
    <s v="2026-02-14"/>
    <x v="1"/>
    <x v="4"/>
    <n v="7.7"/>
    <n v="43208"/>
    <x v="0"/>
    <s v="Medium"/>
    <s v="Completed"/>
    <x v="1"/>
    <s v="Belt"/>
    <n v="5.3"/>
    <x v="0"/>
  </r>
  <r>
    <s v="AST1981"/>
    <x v="2"/>
    <x v="3"/>
    <x v="1"/>
    <s v="Machine-981"/>
    <n v="2015"/>
    <s v="2026-06-03"/>
    <x v="0"/>
    <x v="3"/>
    <n v="3.4"/>
    <n v="42492"/>
    <x v="1"/>
    <s v="Low"/>
    <s v="In Progress"/>
    <x v="0"/>
    <s v="None"/>
    <n v="6.2"/>
    <x v="10"/>
  </r>
  <r>
    <s v="AST1982"/>
    <x v="2"/>
    <x v="1"/>
    <x v="2"/>
    <s v="Machine-982"/>
    <n v="2024"/>
    <s v="2026-04-10"/>
    <x v="0"/>
    <x v="3"/>
    <n v="8.5"/>
    <n v="17183"/>
    <x v="4"/>
    <s v="Critical"/>
    <s v="Pending"/>
    <x v="0"/>
    <s v="Sensor"/>
    <n v="1.8"/>
    <x v="0"/>
  </r>
  <r>
    <s v="AST1983"/>
    <x v="1"/>
    <x v="1"/>
    <x v="5"/>
    <s v="Machine-983"/>
    <n v="2015"/>
    <s v="2026-01-08"/>
    <x v="0"/>
    <x v="0"/>
    <n v="11.1"/>
    <n v="17352"/>
    <x v="4"/>
    <s v="Critical"/>
    <s v="Pending"/>
    <x v="1"/>
    <s v="Bearing"/>
    <n v="8.1"/>
    <x v="10"/>
  </r>
  <r>
    <s v="AST1984"/>
    <x v="1"/>
    <x v="3"/>
    <x v="3"/>
    <s v="Machine-984"/>
    <n v="2019"/>
    <s v="2026-02-10"/>
    <x v="2"/>
    <x v="1"/>
    <n v="13.6"/>
    <n v="28130"/>
    <x v="2"/>
    <s v="Critical"/>
    <s v="In Progress"/>
    <x v="0"/>
    <s v="Valve"/>
    <n v="9.6"/>
    <x v="5"/>
  </r>
  <r>
    <s v="AST1985"/>
    <x v="0"/>
    <x v="1"/>
    <x v="3"/>
    <s v="Machine-985"/>
    <n v="2025"/>
    <s v="2026-05-18"/>
    <x v="2"/>
    <x v="0"/>
    <n v="0.9"/>
    <n v="33010"/>
    <x v="5"/>
    <s v="Low"/>
    <s v="In Progress"/>
    <x v="2"/>
    <s v="None"/>
    <n v="7.8"/>
    <x v="11"/>
  </r>
  <r>
    <s v="AST1986"/>
    <x v="2"/>
    <x v="3"/>
    <x v="5"/>
    <s v="Machine-986"/>
    <n v="2019"/>
    <s v="2026-04-13"/>
    <x v="1"/>
    <x v="1"/>
    <n v="3.1"/>
    <n v="18703"/>
    <x v="2"/>
    <s v="Low"/>
    <s v="Pending"/>
    <x v="0"/>
    <s v="Sensor"/>
    <n v="4.4000000000000004"/>
    <x v="5"/>
  </r>
  <r>
    <s v="AST1987"/>
    <x v="1"/>
    <x v="3"/>
    <x v="0"/>
    <s v="Machine-987"/>
    <n v="2019"/>
    <s v="2026-02-06"/>
    <x v="0"/>
    <x v="2"/>
    <n v="11.7"/>
    <n v="6354"/>
    <x v="1"/>
    <s v="Critical"/>
    <s v="Completed"/>
    <x v="2"/>
    <s v="Sensor"/>
    <n v="3.3"/>
    <x v="5"/>
  </r>
  <r>
    <s v="AST1988"/>
    <x v="3"/>
    <x v="0"/>
    <x v="6"/>
    <s v="Machine-988"/>
    <n v="2021"/>
    <s v="2026-03-26"/>
    <x v="0"/>
    <x v="1"/>
    <n v="13.8"/>
    <n v="11200"/>
    <x v="2"/>
    <s v="High"/>
    <s v="Completed"/>
    <x v="0"/>
    <s v="Sensor"/>
    <n v="5.9"/>
    <x v="8"/>
  </r>
  <r>
    <s v="AST1989"/>
    <x v="4"/>
    <x v="2"/>
    <x v="6"/>
    <s v="Machine-989"/>
    <n v="2025"/>
    <s v="2026-03-16"/>
    <x v="1"/>
    <x v="4"/>
    <n v="13"/>
    <n v="20825"/>
    <x v="4"/>
    <s v="Medium"/>
    <s v="Completed"/>
    <x v="1"/>
    <s v="Sensor"/>
    <n v="8.6999999999999993"/>
    <x v="11"/>
  </r>
  <r>
    <s v="AST1990"/>
    <x v="1"/>
    <x v="4"/>
    <x v="2"/>
    <s v="Machine-990"/>
    <n v="2018"/>
    <s v="2026-06-13"/>
    <x v="0"/>
    <x v="2"/>
    <n v="3.1"/>
    <n v="2290"/>
    <x v="3"/>
    <s v="High"/>
    <s v="Pending"/>
    <x v="1"/>
    <s v="None"/>
    <n v="8.8000000000000007"/>
    <x v="2"/>
  </r>
  <r>
    <s v="AST1991"/>
    <x v="3"/>
    <x v="1"/>
    <x v="0"/>
    <s v="Machine-991"/>
    <n v="2022"/>
    <s v="2026-04-14"/>
    <x v="2"/>
    <x v="0"/>
    <n v="3.2"/>
    <n v="34339"/>
    <x v="3"/>
    <s v="High"/>
    <s v="In Progress"/>
    <x v="2"/>
    <s v="None"/>
    <n v="2.1"/>
    <x v="1"/>
  </r>
  <r>
    <s v="AST1992"/>
    <x v="1"/>
    <x v="3"/>
    <x v="5"/>
    <s v="Machine-992"/>
    <n v="2022"/>
    <s v="2026-05-04"/>
    <x v="0"/>
    <x v="1"/>
    <n v="6.5"/>
    <n v="21770"/>
    <x v="4"/>
    <s v="Medium"/>
    <s v="Completed"/>
    <x v="2"/>
    <s v="Belt"/>
    <n v="7.9"/>
    <x v="1"/>
  </r>
  <r>
    <s v="AST1993"/>
    <x v="1"/>
    <x v="0"/>
    <x v="5"/>
    <s v="Machine-993"/>
    <n v="2015"/>
    <s v="2026-06-16"/>
    <x v="0"/>
    <x v="0"/>
    <n v="16.399999999999999"/>
    <n v="35848"/>
    <x v="4"/>
    <s v="Medium"/>
    <s v="In Progress"/>
    <x v="1"/>
    <s v="Bearing"/>
    <n v="4.3"/>
    <x v="10"/>
  </r>
  <r>
    <s v="AST1994"/>
    <x v="2"/>
    <x v="4"/>
    <x v="4"/>
    <s v="Machine-994"/>
    <n v="2015"/>
    <s v="2026-03-26"/>
    <x v="1"/>
    <x v="5"/>
    <n v="15.3"/>
    <n v="36740"/>
    <x v="0"/>
    <s v="Low"/>
    <s v="In Progress"/>
    <x v="1"/>
    <s v="Belt"/>
    <n v="2.9"/>
    <x v="10"/>
  </r>
  <r>
    <s v="AST1995"/>
    <x v="1"/>
    <x v="2"/>
    <x v="0"/>
    <s v="Machine-995"/>
    <n v="2018"/>
    <s v="2026-07-24"/>
    <x v="1"/>
    <x v="4"/>
    <n v="3.6"/>
    <n v="41420"/>
    <x v="3"/>
    <s v="High"/>
    <s v="Completed"/>
    <x v="1"/>
    <s v="Motor"/>
    <n v="7.5"/>
    <x v="2"/>
  </r>
  <r>
    <s v="AST1996"/>
    <x v="2"/>
    <x v="0"/>
    <x v="1"/>
    <s v="Machine-996"/>
    <n v="2015"/>
    <s v="2026-02-03"/>
    <x v="0"/>
    <x v="3"/>
    <n v="10.7"/>
    <n v="39594"/>
    <x v="1"/>
    <s v="Critical"/>
    <s v="Completed"/>
    <x v="1"/>
    <s v="Bearing"/>
    <n v="3.5"/>
    <x v="10"/>
  </r>
  <r>
    <s v="AST1997"/>
    <x v="1"/>
    <x v="3"/>
    <x v="1"/>
    <s v="Machine-997"/>
    <n v="2024"/>
    <s v="2026-01-19"/>
    <x v="0"/>
    <x v="4"/>
    <n v="4"/>
    <n v="37044"/>
    <x v="2"/>
    <s v="Medium"/>
    <s v="Pending"/>
    <x v="2"/>
    <s v="Sensor"/>
    <n v="5.9"/>
    <x v="0"/>
  </r>
  <r>
    <s v="AST1998"/>
    <x v="0"/>
    <x v="3"/>
    <x v="2"/>
    <s v="Machine-998"/>
    <n v="2023"/>
    <s v="2026-04-21"/>
    <x v="1"/>
    <x v="5"/>
    <n v="14.6"/>
    <n v="41766"/>
    <x v="1"/>
    <s v="Low"/>
    <s v="In Progress"/>
    <x v="2"/>
    <s v="Belt"/>
    <n v="3.1"/>
    <x v="4"/>
  </r>
  <r>
    <s v="AST1999"/>
    <x v="4"/>
    <x v="1"/>
    <x v="5"/>
    <s v="Machine-999"/>
    <n v="2024"/>
    <s v="2026-02-15"/>
    <x v="1"/>
    <x v="0"/>
    <n v="5.7"/>
    <n v="36377"/>
    <x v="4"/>
    <s v="High"/>
    <s v="In Progress"/>
    <x v="1"/>
    <s v="Belt"/>
    <n v="5.3"/>
    <x v="0"/>
  </r>
  <r>
    <s v="AST2000"/>
    <x v="0"/>
    <x v="2"/>
    <x v="5"/>
    <s v="Machine-1000"/>
    <n v="2024"/>
    <s v="2026-04-23"/>
    <x v="0"/>
    <x v="5"/>
    <n v="8.6999999999999993"/>
    <n v="12190"/>
    <x v="4"/>
    <s v="Low"/>
    <s v="In Progress"/>
    <x v="1"/>
    <s v="Sensor"/>
    <n v="1.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AAB7D3-0DB4-4DF2-994E-50CCD0EE55C6}"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Asset Age Years">
  <location ref="N22:O34" firstHeaderRow="1" firstDataRow="1" firstDataCol="1"/>
  <pivotFields count="18">
    <pivotField dataField="1" showAll="0"/>
    <pivotField showAll="0">
      <items count="6">
        <item x="2"/>
        <item x="1"/>
        <item x="0"/>
        <item x="4"/>
        <item x="3"/>
        <item t="default"/>
      </items>
    </pivotField>
    <pivotField showAll="0">
      <items count="6">
        <item x="4"/>
        <item x="0"/>
        <item x="2"/>
        <item x="3"/>
        <item x="1"/>
        <item t="default"/>
      </items>
    </pivotField>
    <pivotField showAll="0">
      <items count="8">
        <item x="5"/>
        <item x="4"/>
        <item x="0"/>
        <item x="1"/>
        <item x="6"/>
        <item x="3"/>
        <item x="2"/>
        <item t="default"/>
      </items>
    </pivotField>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axis="axisRow" showAll="0">
      <items count="13">
        <item x="11"/>
        <item x="0"/>
        <item x="4"/>
        <item x="1"/>
        <item x="8"/>
        <item x="3"/>
        <item x="5"/>
        <item x="2"/>
        <item x="7"/>
        <item x="6"/>
        <item x="10"/>
        <item x="9"/>
        <item t="default"/>
      </items>
    </pivotField>
  </pivotFields>
  <rowFields count="1">
    <field x="17"/>
  </rowFields>
  <rowItems count="12">
    <i>
      <x/>
    </i>
    <i>
      <x v="1"/>
    </i>
    <i>
      <x v="2"/>
    </i>
    <i>
      <x v="3"/>
    </i>
    <i>
      <x v="4"/>
    </i>
    <i>
      <x v="5"/>
    </i>
    <i>
      <x v="6"/>
    </i>
    <i>
      <x v="7"/>
    </i>
    <i>
      <x v="8"/>
    </i>
    <i>
      <x v="9"/>
    </i>
    <i>
      <x v="10"/>
    </i>
    <i>
      <x v="11"/>
    </i>
  </rowItems>
  <colItems count="1">
    <i/>
  </colItems>
  <dataFields count="1">
    <dataField name="Count of Asset_ID" fld="0" subtotal="count" baseField="0" baseItem="0"/>
  </dataFields>
  <formats count="2">
    <format dxfId="9">
      <pivotArea dataOnly="0" labelOnly="1" outline="0" axis="axisValues" fieldPosition="0"/>
    </format>
    <format dxfId="8">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1D11A7-A51F-4DBB-8FDD-468E28CCE71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Technician">
  <location ref="B25:C31" firstHeaderRow="1" firstDataRow="1" firstDataCol="1"/>
  <pivotFields count="18">
    <pivotField dataField="1" showAll="0"/>
    <pivotField showAll="0">
      <items count="6">
        <item x="2"/>
        <item x="1"/>
        <item x="0"/>
        <item x="4"/>
        <item x="3"/>
        <item t="default"/>
      </items>
    </pivotField>
    <pivotField showAll="0">
      <items count="6">
        <item x="4"/>
        <item x="0"/>
        <item x="2"/>
        <item x="3"/>
        <item x="1"/>
        <item t="default"/>
      </items>
    </pivotField>
    <pivotField showAll="0">
      <items count="8">
        <item x="5"/>
        <item x="4"/>
        <item x="0"/>
        <item x="1"/>
        <item x="6"/>
        <item x="3"/>
        <item x="2"/>
        <item t="default"/>
      </items>
    </pivotField>
    <pivotField showAll="0"/>
    <pivotField showAll="0"/>
    <pivotField showAll="0"/>
    <pivotField showAll="0">
      <items count="4">
        <item x="1"/>
        <item x="2"/>
        <item x="0"/>
        <item t="default"/>
      </items>
    </pivotField>
    <pivotField showAll="0"/>
    <pivotField showAll="0"/>
    <pivotField showAll="0"/>
    <pivotField axis="axisRow" showAll="0" sortType="descending">
      <items count="7">
        <item x="3"/>
        <item x="4"/>
        <item x="2"/>
        <item x="1"/>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11"/>
  </rowFields>
  <rowItems count="6">
    <i>
      <x v="5"/>
    </i>
    <i>
      <x v="1"/>
    </i>
    <i>
      <x/>
    </i>
    <i>
      <x v="2"/>
    </i>
    <i>
      <x v="3"/>
    </i>
    <i>
      <x v="4"/>
    </i>
  </rowItems>
  <colItems count="1">
    <i/>
  </colItems>
  <dataFields count="1">
    <dataField name="work Oredrs" fld="0" subtotal="count" baseField="11" baseItem="0" numFmtId="1"/>
  </dataFields>
  <formats count="2">
    <format dxfId="11">
      <pivotArea dataOnly="0" labelOnly="1" outline="0" axis="axisValues" fieldPosition="0"/>
    </format>
    <format dxfId="10">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221A5A-03B6-4214-890F-3F52F9EC4DE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Failure Type">
  <location ref="F25:G30" firstHeaderRow="1" firstDataRow="1" firstDataCol="1"/>
  <pivotFields count="18">
    <pivotField dataField="1" showAll="0"/>
    <pivotField showAll="0">
      <items count="6">
        <item x="2"/>
        <item x="1"/>
        <item x="0"/>
        <item x="4"/>
        <item x="3"/>
        <item t="default"/>
      </items>
    </pivotField>
    <pivotField showAll="0">
      <items count="6">
        <item x="4"/>
        <item x="0"/>
        <item x="2"/>
        <item x="3"/>
        <item x="1"/>
        <item t="default"/>
      </items>
    </pivotField>
    <pivotField showAll="0">
      <items count="8">
        <item x="5"/>
        <item x="4"/>
        <item x="0"/>
        <item x="1"/>
        <item x="6"/>
        <item x="3"/>
        <item x="2"/>
        <item t="default"/>
      </items>
    </pivotField>
    <pivotField showAll="0"/>
    <pivotField showAll="0"/>
    <pivotField showAll="0"/>
    <pivotField showAll="0">
      <items count="4">
        <item x="1"/>
        <item x="2"/>
        <item x="0"/>
        <item t="default"/>
      </items>
    </pivotField>
    <pivotField axis="axisRow" showAll="0" sortType="ascending">
      <items count="7">
        <item x="1"/>
        <item x="5"/>
        <item x="3"/>
        <item h="1"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8"/>
  </rowFields>
  <rowItems count="5">
    <i>
      <x v="5"/>
    </i>
    <i>
      <x v="2"/>
    </i>
    <i>
      <x/>
    </i>
    <i>
      <x v="4"/>
    </i>
    <i>
      <x v="1"/>
    </i>
  </rowItems>
  <colItems count="1">
    <i/>
  </colItems>
  <dataFields count="1">
    <dataField name="Failure Count" fld="0" subtotal="count" baseField="8" baseItem="0"/>
  </dataFields>
  <formats count="2">
    <format dxfId="13">
      <pivotArea dataOnly="0" labelOnly="1" outline="0" axis="axisValues" fieldPosition="0"/>
    </format>
    <format dxfId="12">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DA32F3-2076-4F53-BF8F-C315230EB38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Asset Status">
  <location ref="J3:K6" firstHeaderRow="1" firstDataRow="1" firstDataCol="1"/>
  <pivotFields count="18">
    <pivotField dataField="1" showAll="0"/>
    <pivotField showAll="0">
      <items count="6">
        <item x="2"/>
        <item x="1"/>
        <item x="0"/>
        <item x="4"/>
        <item x="3"/>
        <item t="default"/>
      </items>
    </pivotField>
    <pivotField showAll="0">
      <items count="6">
        <item x="4"/>
        <item x="0"/>
        <item x="2"/>
        <item x="3"/>
        <item x="1"/>
        <item t="default"/>
      </items>
    </pivotField>
    <pivotField showAll="0">
      <items count="8">
        <item x="5"/>
        <item x="4"/>
        <item x="0"/>
        <item x="1"/>
        <item x="6"/>
        <item x="3"/>
        <item x="2"/>
        <item t="default"/>
      </items>
    </pivotField>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s>
  <rowFields count="1">
    <field x="14"/>
  </rowFields>
  <rowItems count="3">
    <i>
      <x/>
    </i>
    <i>
      <x v="1"/>
    </i>
    <i>
      <x v="2"/>
    </i>
  </rowItems>
  <colItems count="1">
    <i/>
  </colItems>
  <dataFields count="1">
    <dataField name="Total Assets" fld="0" subtotal="count" baseField="14" baseItem="0"/>
  </dataFields>
  <formats count="2">
    <format dxfId="15">
      <pivotArea dataOnly="0" labelOnly="1" outline="0" axis="axisValues" fieldPosition="0"/>
    </format>
    <format dxfId="14">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4" count="1" selected="0">
            <x v="0"/>
          </reference>
        </references>
      </pivotArea>
    </chartFormat>
    <chartFormat chart="1" format="2">
      <pivotArea type="data" outline="0" fieldPosition="0">
        <references count="2">
          <reference field="4294967294" count="1" selected="0">
            <x v="0"/>
          </reference>
          <reference field="14" count="1" selected="0">
            <x v="1"/>
          </reference>
        </references>
      </pivotArea>
    </chartFormat>
    <chartFormat chart="1" format="3">
      <pivotArea type="data" outline="0" fieldPosition="0">
        <references count="2">
          <reference field="4294967294" count="1" selected="0">
            <x v="0"/>
          </reference>
          <reference field="14"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4" count="1" selected="0">
            <x v="0"/>
          </reference>
        </references>
      </pivotArea>
    </chartFormat>
    <chartFormat chart="4" format="10">
      <pivotArea type="data" outline="0" fieldPosition="0">
        <references count="2">
          <reference field="4294967294" count="1" selected="0">
            <x v="0"/>
          </reference>
          <reference field="14" count="1" selected="0">
            <x v="1"/>
          </reference>
        </references>
      </pivotArea>
    </chartFormat>
    <chartFormat chart="4"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F20478-099F-4BB5-8D65-C194C1CC1A58}"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Maintenance Type">
  <location ref="N3:O6" firstHeaderRow="1" firstDataRow="1" firstDataCol="1"/>
  <pivotFields count="18">
    <pivotField dataField="1" showAll="0"/>
    <pivotField showAll="0">
      <items count="6">
        <item x="2"/>
        <item x="1"/>
        <item x="0"/>
        <item x="4"/>
        <item x="3"/>
        <item t="default"/>
      </items>
    </pivotField>
    <pivotField showAll="0">
      <items count="6">
        <item x="4"/>
        <item x="0"/>
        <item x="2"/>
        <item x="3"/>
        <item x="1"/>
        <item t="default"/>
      </items>
    </pivotField>
    <pivotField showAll="0">
      <items count="8">
        <item x="5"/>
        <item x="4"/>
        <item x="0"/>
        <item x="1"/>
        <item x="6"/>
        <item x="3"/>
        <item x="2"/>
        <item t="default"/>
      </items>
    </pivotField>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7"/>
  </rowFields>
  <rowItems count="3">
    <i>
      <x v="2"/>
    </i>
    <i>
      <x/>
    </i>
    <i>
      <x v="1"/>
    </i>
  </rowItems>
  <colItems count="1">
    <i/>
  </colItems>
  <dataFields count="1">
    <dataField name="Maintenance Count" fld="0" subtotal="count" baseField="3" baseItem="0"/>
  </dataFields>
  <formats count="2">
    <format dxfId="17">
      <pivotArea dataOnly="0" labelOnly="1" outline="0" axis="axisValues" fieldPosition="0"/>
    </format>
    <format dxfId="16">
      <pivotArea outline="0" collapsedLevelsAreSubtotals="1" fieldPosition="0"/>
    </format>
  </formats>
  <chartFormats count="9">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2"/>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2"/>
          </reference>
        </references>
      </pivotArea>
    </chartFormat>
    <chartFormat chart="5" format="10">
      <pivotArea type="data" outline="0" fieldPosition="0">
        <references count="2">
          <reference field="4294967294" count="1" selected="0">
            <x v="0"/>
          </reference>
          <reference field="7" count="1" selected="0">
            <x v="0"/>
          </reference>
        </references>
      </pivotArea>
    </chartFormat>
    <chartFormat chart="5" format="11">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E786BB-A3D6-47C4-A7A2-4ADF2E1CB50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Department">
  <location ref="J25:K30" firstHeaderRow="1" firstDataRow="1" firstDataCol="1"/>
  <pivotFields count="18">
    <pivotField showAll="0"/>
    <pivotField showAll="0">
      <items count="6">
        <item x="2"/>
        <item x="1"/>
        <item x="0"/>
        <item x="4"/>
        <item x="3"/>
        <item t="default"/>
      </items>
    </pivotField>
    <pivotField axis="axisRow" showAll="0" sortType="descending">
      <items count="6">
        <item x="4"/>
        <item x="0"/>
        <item x="2"/>
        <item x="3"/>
        <item x="1"/>
        <item t="default"/>
      </items>
      <autoSortScope>
        <pivotArea dataOnly="0" outline="0" fieldPosition="0">
          <references count="1">
            <reference field="4294967294" count="1" selected="0">
              <x v="0"/>
            </reference>
          </references>
        </pivotArea>
      </autoSortScope>
    </pivotField>
    <pivotField showAll="0">
      <items count="8">
        <item x="5"/>
        <item x="4"/>
        <item x="0"/>
        <item x="1"/>
        <item x="6"/>
        <item x="3"/>
        <item x="2"/>
        <item t="default"/>
      </items>
    </pivotField>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showAll="0"/>
    <pivotField showAll="0"/>
  </pivotFields>
  <rowFields count="1">
    <field x="2"/>
  </rowFields>
  <rowItems count="5">
    <i>
      <x v="3"/>
    </i>
    <i>
      <x v="1"/>
    </i>
    <i>
      <x v="4"/>
    </i>
    <i>
      <x/>
    </i>
    <i>
      <x v="2"/>
    </i>
  </rowItems>
  <colItems count="1">
    <i/>
  </colItems>
  <dataFields count="1">
    <dataField name="Maintenance Cost" fld="10" baseField="2" baseItem="0" numFmtId="165"/>
  </dataFields>
  <formats count="2">
    <format dxfId="19">
      <pivotArea dataOnly="0" labelOnly="1" outline="0" axis="axisValues" fieldPosition="0"/>
    </format>
    <format dxfId="18">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57D1ED-0096-40C8-81D3-BD07CAAD5E6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Machine Type">
  <location ref="F3:G10" firstHeaderRow="1" firstDataRow="1" firstDataCol="1"/>
  <pivotFields count="18">
    <pivotField showAll="0"/>
    <pivotField showAll="0">
      <items count="6">
        <item x="2"/>
        <item x="1"/>
        <item x="0"/>
        <item x="4"/>
        <item x="3"/>
        <item t="default"/>
      </items>
    </pivotField>
    <pivotField showAll="0">
      <items count="6">
        <item x="4"/>
        <item x="0"/>
        <item x="2"/>
        <item x="3"/>
        <item x="1"/>
        <item t="default"/>
      </items>
    </pivotField>
    <pivotField axis="axisRow" showAll="0" sortType="ascending">
      <items count="8">
        <item x="5"/>
        <item x="4"/>
        <item x="0"/>
        <item x="1"/>
        <item x="6"/>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2"/>
        <item x="0"/>
        <item t="default"/>
      </items>
    </pivotField>
    <pivotField showAll="0"/>
    <pivotField dataField="1" showAll="0"/>
    <pivotField showAll="0"/>
    <pivotField showAll="0"/>
    <pivotField showAll="0"/>
    <pivotField showAll="0"/>
    <pivotField showAll="0"/>
    <pivotField showAll="0"/>
    <pivotField showAll="0"/>
    <pivotField showAll="0"/>
  </pivotFields>
  <rowFields count="1">
    <field x="3"/>
  </rowFields>
  <rowItems count="7">
    <i>
      <x v="3"/>
    </i>
    <i>
      <x/>
    </i>
    <i>
      <x v="1"/>
    </i>
    <i>
      <x v="5"/>
    </i>
    <i>
      <x v="4"/>
    </i>
    <i>
      <x v="6"/>
    </i>
    <i>
      <x v="2"/>
    </i>
  </rowItems>
  <colItems count="1">
    <i/>
  </colItems>
  <dataFields count="1">
    <dataField name="Total Downtime (Hours)" fld="9" baseField="3" baseItem="0" numFmtId="1"/>
  </dataFields>
  <formats count="2">
    <format dxfId="21">
      <pivotArea dataOnly="0" labelOnly="1" outline="0" axis="axisValues" fieldPosition="0"/>
    </format>
    <format dxfId="2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A56322-88D4-48C7-9A96-7EBDAD5C739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Plant">
  <location ref="B3:C8" firstHeaderRow="1" firstDataRow="1" firstDataCol="1"/>
  <pivotFields count="18">
    <pivotField showAll="0"/>
    <pivotField axis="axisRow" showAll="0" sortType="descending">
      <items count="6">
        <item x="2"/>
        <item x="1"/>
        <item x="0"/>
        <item x="4"/>
        <item x="3"/>
        <item t="default"/>
      </items>
      <autoSortScope>
        <pivotArea dataOnly="0" outline="0" fieldPosition="0">
          <references count="1">
            <reference field="4294967294" count="1" selected="0">
              <x v="0"/>
            </reference>
          </references>
        </pivotArea>
      </autoSortScope>
    </pivotField>
    <pivotField showAll="0">
      <items count="6">
        <item x="4"/>
        <item x="0"/>
        <item x="2"/>
        <item x="3"/>
        <item x="1"/>
        <item t="default"/>
      </items>
    </pivotField>
    <pivotField showAll="0">
      <items count="8">
        <item x="5"/>
        <item x="4"/>
        <item x="0"/>
        <item x="1"/>
        <item x="6"/>
        <item x="3"/>
        <item x="2"/>
        <item t="default"/>
      </items>
    </pivotField>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showAll="0"/>
    <pivotField showAll="0"/>
  </pivotFields>
  <rowFields count="1">
    <field x="1"/>
  </rowFields>
  <rowItems count="5">
    <i>
      <x v="3"/>
    </i>
    <i>
      <x v="4"/>
    </i>
    <i>
      <x v="2"/>
    </i>
    <i>
      <x/>
    </i>
    <i>
      <x v="1"/>
    </i>
  </rowItems>
  <colItems count="1">
    <i/>
  </colItems>
  <dataFields count="1">
    <dataField name="Total Maintenance Cost" fld="10" baseField="1" baseItem="0" numFmtId="165"/>
  </dataFields>
  <formats count="2">
    <format dxfId="23">
      <pivotArea dataOnly="0" labelOnly="1" outline="0" axis="axisValues" fieldPosition="0"/>
    </format>
    <format dxfId="2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 xr10:uid="{346ABE7E-F252-40FA-A305-F6D01EECBABF}" sourceName="Plant">
  <pivotTables>
    <pivotTable tabId="5" name="PivotTable4"/>
    <pivotTable tabId="5" name="PivotTable1"/>
    <pivotTable tabId="5" name="PivotTable2"/>
    <pivotTable tabId="5" name="PivotTable3"/>
    <pivotTable tabId="5" name="PivotTable5"/>
    <pivotTable tabId="5" name="PivotTable6"/>
    <pivotTable tabId="5" name="PivotTable7"/>
    <pivotTable tabId="5" name="PivotTable8"/>
  </pivotTables>
  <data>
    <tabular pivotCacheId="2067465166">
      <items count="5">
        <i x="2" s="1"/>
        <i x="1"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E426D6D-2177-483B-BCFE-9FA2E62EB4A4}" sourceName="Department">
  <pivotTables>
    <pivotTable tabId="5" name="PivotTable4"/>
    <pivotTable tabId="5" name="PivotTable1"/>
    <pivotTable tabId="5" name="PivotTable2"/>
    <pivotTable tabId="5" name="PivotTable3"/>
    <pivotTable tabId="5" name="PivotTable5"/>
    <pivotTable tabId="5" name="PivotTable6"/>
    <pivotTable tabId="5" name="PivotTable7"/>
    <pivotTable tabId="5" name="PivotTable8"/>
  </pivotTables>
  <data>
    <tabular pivotCacheId="2067465166">
      <items count="5">
        <i x="4" s="1"/>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Type" xr10:uid="{1587CA4C-DBFC-4D46-8DF9-1EAD6831E22D}" sourceName="Machine_Type">
  <pivotTables>
    <pivotTable tabId="5" name="PivotTable4"/>
    <pivotTable tabId="5" name="PivotTable1"/>
    <pivotTable tabId="5" name="PivotTable2"/>
    <pivotTable tabId="5" name="PivotTable3"/>
    <pivotTable tabId="5" name="PivotTable5"/>
    <pivotTable tabId="5" name="PivotTable6"/>
    <pivotTable tabId="5" name="PivotTable7"/>
    <pivotTable tabId="5" name="PivotTable8"/>
  </pivotTables>
  <data>
    <tabular pivotCacheId="2067465166">
      <items count="7">
        <i x="5" s="1"/>
        <i x="4" s="1"/>
        <i x="0" s="1"/>
        <i x="1" s="1"/>
        <i x="6"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tenance_Type" xr10:uid="{ACA2B567-B151-4CB3-8F99-FD4B413DA67E}" sourceName="Maintenance_Type">
  <pivotTables>
    <pivotTable tabId="5" name="PivotTable4"/>
    <pivotTable tabId="5" name="PivotTable1"/>
    <pivotTable tabId="5" name="PivotTable2"/>
    <pivotTable tabId="5" name="PivotTable3"/>
    <pivotTable tabId="5" name="PivotTable5"/>
    <pivotTable tabId="5" name="PivotTable6"/>
    <pivotTable tabId="5" name="PivotTable7"/>
    <pivotTable tabId="5" name="PivotTable8"/>
  </pivotTables>
  <data>
    <tabular pivotCacheId="206746516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 xr10:uid="{A7FCADF6-D0F1-4D36-8457-AFEDC8C2BBE6}" cache="Slicer_Plant" caption="Plant" rowHeight="234950"/>
  <slicer name="Department" xr10:uid="{38E241EA-5F55-4335-A5FB-7927313F7E0F}" cache="Slicer_Department" caption="Department" rowHeight="234950"/>
  <slicer name="Machine_Type" xr10:uid="{34798C16-98A0-4D4F-A2AD-3155A24F2243}" cache="Slicer_Machine_Type" caption="Machine_Type" rowHeight="234950"/>
  <slicer name="Maintenance_Type" xr10:uid="{13400B4A-25B3-4F23-A140-F6161D4C931F}" cache="Slicer_Maintenance_Type" caption="Maintenance_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 1" xr10:uid="{BA72F281-4264-46F7-8DA1-F8E3770ED581}" cache="Slicer_Plant" caption="All" style="SlicerStyleDark1" rowHeight="234950"/>
  <slicer name="Department 1" xr10:uid="{A6D2AEAC-D137-4C2D-BA70-A7E4CE24AC50}" cache="Slicer_Department" caption="All" style="SlicerStyleDark1" rowHeight="234950"/>
  <slicer name="Machine_Type 1" xr10:uid="{B246ECD3-5F73-4372-B3CA-1986331F9519}" cache="Slicer_Machine_Type" caption="All" style="SlicerStyleDark1" rowHeight="234950"/>
  <slicer name="Maintenance_Type 1" xr10:uid="{6C51C2A1-B1E9-4ED9-9B0E-467C4B42497B}" cache="Slicer_Maintenance_Type" caption="All"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36CAEC-4E76-42C5-9972-FD4E66CC26EA}" name="Table1" displayName="Table1" ref="A1:R1001" totalsRowShown="0">
  <tableColumns count="18">
    <tableColumn id="1" xr3:uid="{874CD111-1179-41DB-8C56-30171B5B744E}" name="Asset_ID"/>
    <tableColumn id="2" xr3:uid="{7F74A00E-E08B-40AF-A7AC-16BD1B629F15}" name="Plant"/>
    <tableColumn id="3" xr3:uid="{B3FAF24C-3311-4829-BF99-38D9C693C3DA}" name="Department"/>
    <tableColumn id="4" xr3:uid="{EC0B37F1-A270-4AB9-AE88-1834877A1DCC}" name="Machine_Type"/>
    <tableColumn id="5" xr3:uid="{888F4B9B-45A0-4767-B597-1AC48F717C13}" name="Asset_Name"/>
    <tableColumn id="6" xr3:uid="{CEE2D03A-BF4F-4519-8B82-3B5039171F0D}" name="Installation_Year"/>
    <tableColumn id="7" xr3:uid="{84EAE00C-F686-4211-A000-A7E30560706B}" name="Maintenance_Date"/>
    <tableColumn id="8" xr3:uid="{6B5FC4BB-41CA-46F0-A6C0-80FB54B27DBA}" name="Maintenance_Type"/>
    <tableColumn id="9" xr3:uid="{6D8C39CF-C90B-4133-87F3-196E79C7A8C9}" name="Failure_Type"/>
    <tableColumn id="10" xr3:uid="{6FCBA204-C8D5-431C-94B8-310AA9AF32C9}" name="Downtime_Hours"/>
    <tableColumn id="11" xr3:uid="{0B02CD2C-EB7C-4F31-9052-C234E6D60498}" name="Repair_Cost_INR"/>
    <tableColumn id="12" xr3:uid="{2262A6DE-F142-483A-AEFE-6F5E20675E7C}" name="Technician"/>
    <tableColumn id="13" xr3:uid="{650DEEFA-8249-41E6-A373-20D7596DD8AB}" name="Priority"/>
    <tableColumn id="14" xr3:uid="{5CD6D164-9D98-4201-BC41-F399E71D55C8}" name="Work_Order_Status"/>
    <tableColumn id="15" xr3:uid="{FF98FFC1-9B2C-4E5A-BF53-7B5CB11DCA73}" name="Asset_Status"/>
    <tableColumn id="16" xr3:uid="{91EE72C4-FC9C-461C-BE9B-C3DCF56E4156}" name="Spare_Part_Used"/>
    <tableColumn id="17" xr3:uid="{4BB77588-943B-40F7-B980-F01A52B43C6A}" name="Repair_Time_Hours"/>
    <tableColumn id="18" xr3:uid="{5A52AAC2-92DA-42D8-BAFC-BBAABA0CDB08}" name="Asset_Age_Year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001"/>
  <sheetViews>
    <sheetView topLeftCell="C1" zoomScale="72" workbookViewId="0">
      <pane ySplit="1" topLeftCell="A2" activePane="bottomLeft" state="frozen"/>
      <selection pane="bottomLeft" activeCell="V15" sqref="V15"/>
    </sheetView>
  </sheetViews>
  <sheetFormatPr defaultRowHeight="14.4" x14ac:dyDescent="0.3"/>
  <cols>
    <col min="2" max="2" width="10.109375" bestFit="1" customWidth="1"/>
    <col min="3" max="3" width="11.77734375" customWidth="1"/>
    <col min="4" max="4" width="13.88671875" customWidth="1"/>
    <col min="5" max="5" width="12.6640625" bestFit="1" customWidth="1"/>
    <col min="6" max="6" width="16" customWidth="1"/>
    <col min="7" max="7" width="17.6640625" customWidth="1"/>
    <col min="8" max="8" width="17.77734375" customWidth="1"/>
    <col min="9" max="9" width="13.109375" bestFit="1" customWidth="1"/>
    <col min="10" max="10" width="16.44140625" customWidth="1"/>
    <col min="11" max="11" width="15.77734375" customWidth="1"/>
    <col min="12" max="12" width="10.44140625" customWidth="1"/>
    <col min="14" max="14" width="18.33203125" customWidth="1"/>
    <col min="15" max="15" width="17.33203125" bestFit="1" customWidth="1"/>
    <col min="16" max="16" width="16" customWidth="1"/>
    <col min="17" max="17" width="18.21875" customWidth="1"/>
    <col min="18" max="18" width="16" customWidth="1"/>
    <col min="20" max="20" width="10.77734375" bestFit="1" customWidth="1"/>
    <col min="21" max="21" width="11.5546875" bestFit="1" customWidth="1"/>
    <col min="22" max="22" width="17.33203125" bestFit="1" customWidth="1"/>
    <col min="23" max="23" width="14.21875" bestFit="1" customWidth="1"/>
    <col min="24" max="24" width="15.88671875" bestFit="1" customWidth="1"/>
    <col min="25" max="25" width="14.33203125" bestFit="1" customWidth="1"/>
    <col min="26" max="26" width="11.77734375" bestFit="1" customWidth="1"/>
    <col min="27" max="27" width="12.21875" bestFit="1" customWidth="1"/>
    <col min="28" max="28" width="14.33203125" bestFit="1" customWidth="1"/>
    <col min="29" max="29" width="11.77734375" bestFit="1" customWidth="1"/>
    <col min="30" max="30" width="12.21875" bestFit="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27" x14ac:dyDescent="0.3">
      <c r="A2" t="s">
        <v>18</v>
      </c>
      <c r="B2" t="s">
        <v>19</v>
      </c>
      <c r="C2" t="s">
        <v>20</v>
      </c>
      <c r="D2" t="s">
        <v>21</v>
      </c>
      <c r="E2" t="s">
        <v>22</v>
      </c>
      <c r="F2">
        <v>2024</v>
      </c>
      <c r="G2" t="s">
        <v>23</v>
      </c>
      <c r="H2" t="s">
        <v>24</v>
      </c>
      <c r="I2" t="s">
        <v>25</v>
      </c>
      <c r="J2">
        <v>2.2999999999999998</v>
      </c>
      <c r="K2">
        <v>37241</v>
      </c>
      <c r="L2" t="s">
        <v>26</v>
      </c>
      <c r="M2" t="s">
        <v>27</v>
      </c>
      <c r="N2" t="s">
        <v>28</v>
      </c>
      <c r="O2" t="s">
        <v>29</v>
      </c>
      <c r="P2" t="s">
        <v>30</v>
      </c>
      <c r="Q2">
        <v>2.6</v>
      </c>
      <c r="R2">
        <v>2</v>
      </c>
      <c r="T2" t="s">
        <v>2275</v>
      </c>
      <c r="U2" t="s">
        <v>2276</v>
      </c>
      <c r="V2" t="s">
        <v>118</v>
      </c>
      <c r="W2" t="s">
        <v>2277</v>
      </c>
      <c r="X2" t="s">
        <v>2278</v>
      </c>
      <c r="Y2" t="s">
        <v>2279</v>
      </c>
      <c r="Z2" t="s">
        <v>2280</v>
      </c>
      <c r="AA2" t="s">
        <v>2281</v>
      </c>
    </row>
    <row r="3" spans="1:27" x14ac:dyDescent="0.3">
      <c r="A3" t="s">
        <v>31</v>
      </c>
      <c r="B3" t="s">
        <v>19</v>
      </c>
      <c r="C3" t="s">
        <v>32</v>
      </c>
      <c r="D3" t="s">
        <v>21</v>
      </c>
      <c r="E3" t="s">
        <v>33</v>
      </c>
      <c r="F3">
        <v>2022</v>
      </c>
      <c r="G3" t="s">
        <v>34</v>
      </c>
      <c r="H3" t="s">
        <v>35</v>
      </c>
      <c r="I3" t="s">
        <v>25</v>
      </c>
      <c r="J3">
        <v>10</v>
      </c>
      <c r="K3">
        <v>15946</v>
      </c>
      <c r="L3" t="s">
        <v>36</v>
      </c>
      <c r="M3" t="s">
        <v>37</v>
      </c>
      <c r="N3" t="s">
        <v>28</v>
      </c>
      <c r="O3" t="s">
        <v>29</v>
      </c>
      <c r="P3" t="s">
        <v>38</v>
      </c>
      <c r="Q3">
        <v>4.5</v>
      </c>
      <c r="R3">
        <v>4</v>
      </c>
      <c r="T3" s="8">
        <f>COUNTA(A:A)-1</f>
        <v>1000</v>
      </c>
      <c r="U3">
        <f>COUNTIF(O:O,"Active")</f>
        <v>322</v>
      </c>
      <c r="V3">
        <f>COUNTIF(O:O,"Under Maintenance")</f>
        <v>313</v>
      </c>
      <c r="W3" s="8">
        <f>SUM(J:J)</f>
        <v>9192.9999999999982</v>
      </c>
      <c r="X3" s="2">
        <f>SUM(K:K)</f>
        <v>23585531</v>
      </c>
      <c r="Y3" s="1">
        <f>AVERAGE(Q:Q)</f>
        <v>5.0917999999999948</v>
      </c>
      <c r="Z3" s="3">
        <f>U3/T3</f>
        <v>0.32200000000000001</v>
      </c>
      <c r="AA3" s="1">
        <f>AVERAGE(R:R)</f>
        <v>6.3360000000000003</v>
      </c>
    </row>
    <row r="4" spans="1:27" x14ac:dyDescent="0.3">
      <c r="A4" t="s">
        <v>39</v>
      </c>
      <c r="B4" t="s">
        <v>40</v>
      </c>
      <c r="C4" t="s">
        <v>20</v>
      </c>
      <c r="D4" t="s">
        <v>41</v>
      </c>
      <c r="E4" t="s">
        <v>42</v>
      </c>
      <c r="F4">
        <v>2018</v>
      </c>
      <c r="G4" t="s">
        <v>43</v>
      </c>
      <c r="H4" t="s">
        <v>24</v>
      </c>
      <c r="I4" t="s">
        <v>44</v>
      </c>
      <c r="J4">
        <v>6.8</v>
      </c>
      <c r="K4">
        <v>24041</v>
      </c>
      <c r="L4" t="s">
        <v>45</v>
      </c>
      <c r="M4" t="s">
        <v>37</v>
      </c>
      <c r="N4" t="s">
        <v>28</v>
      </c>
      <c r="O4" t="s">
        <v>46</v>
      </c>
      <c r="P4" t="s">
        <v>47</v>
      </c>
      <c r="Q4">
        <v>5.6</v>
      </c>
      <c r="R4">
        <v>8</v>
      </c>
    </row>
    <row r="5" spans="1:27" x14ac:dyDescent="0.3">
      <c r="A5" t="s">
        <v>48</v>
      </c>
      <c r="B5" t="s">
        <v>49</v>
      </c>
      <c r="C5" t="s">
        <v>20</v>
      </c>
      <c r="D5" t="s">
        <v>50</v>
      </c>
      <c r="E5" t="s">
        <v>51</v>
      </c>
      <c r="F5">
        <v>2020</v>
      </c>
      <c r="G5" t="s">
        <v>52</v>
      </c>
      <c r="H5" t="s">
        <v>35</v>
      </c>
      <c r="I5" t="s">
        <v>53</v>
      </c>
      <c r="J5">
        <v>10.6</v>
      </c>
      <c r="K5">
        <v>6058</v>
      </c>
      <c r="L5" t="s">
        <v>26</v>
      </c>
      <c r="M5" t="s">
        <v>54</v>
      </c>
      <c r="N5" t="s">
        <v>55</v>
      </c>
      <c r="O5" t="s">
        <v>29</v>
      </c>
      <c r="P5" t="s">
        <v>56</v>
      </c>
      <c r="Q5">
        <v>8.6999999999999993</v>
      </c>
      <c r="R5">
        <v>6</v>
      </c>
    </row>
    <row r="6" spans="1:27" x14ac:dyDescent="0.3">
      <c r="A6" t="s">
        <v>57</v>
      </c>
      <c r="B6" t="s">
        <v>58</v>
      </c>
      <c r="C6" t="s">
        <v>20</v>
      </c>
      <c r="D6" t="s">
        <v>21</v>
      </c>
      <c r="E6" t="s">
        <v>59</v>
      </c>
      <c r="F6">
        <v>2020</v>
      </c>
      <c r="G6" t="s">
        <v>60</v>
      </c>
      <c r="H6" t="s">
        <v>24</v>
      </c>
      <c r="I6" t="s">
        <v>61</v>
      </c>
      <c r="J6">
        <v>12.2</v>
      </c>
      <c r="K6">
        <v>43969</v>
      </c>
      <c r="L6" t="s">
        <v>26</v>
      </c>
      <c r="M6" t="s">
        <v>54</v>
      </c>
      <c r="N6" t="s">
        <v>62</v>
      </c>
      <c r="O6" t="s">
        <v>46</v>
      </c>
      <c r="P6" t="s">
        <v>56</v>
      </c>
      <c r="Q6">
        <v>2.1</v>
      </c>
      <c r="R6">
        <v>6</v>
      </c>
    </row>
    <row r="7" spans="1:27" x14ac:dyDescent="0.3">
      <c r="A7" t="s">
        <v>63</v>
      </c>
      <c r="B7" t="s">
        <v>49</v>
      </c>
      <c r="C7" t="s">
        <v>64</v>
      </c>
      <c r="D7" t="s">
        <v>65</v>
      </c>
      <c r="E7" t="s">
        <v>66</v>
      </c>
      <c r="F7">
        <v>2020</v>
      </c>
      <c r="G7" t="s">
        <v>67</v>
      </c>
      <c r="H7" t="s">
        <v>24</v>
      </c>
      <c r="I7" t="s">
        <v>44</v>
      </c>
      <c r="J7">
        <v>4.5</v>
      </c>
      <c r="K7">
        <v>3603</v>
      </c>
      <c r="L7" t="s">
        <v>68</v>
      </c>
      <c r="M7" t="s">
        <v>27</v>
      </c>
      <c r="N7" t="s">
        <v>55</v>
      </c>
      <c r="O7" t="s">
        <v>29</v>
      </c>
      <c r="P7" t="s">
        <v>56</v>
      </c>
      <c r="Q7">
        <v>9.1999999999999993</v>
      </c>
      <c r="R7">
        <v>6</v>
      </c>
    </row>
    <row r="8" spans="1:27" x14ac:dyDescent="0.3">
      <c r="A8" t="s">
        <v>69</v>
      </c>
      <c r="B8" t="s">
        <v>70</v>
      </c>
      <c r="C8" t="s">
        <v>64</v>
      </c>
      <c r="D8" t="s">
        <v>65</v>
      </c>
      <c r="E8" t="s">
        <v>71</v>
      </c>
      <c r="F8">
        <v>2023</v>
      </c>
      <c r="G8" t="s">
        <v>72</v>
      </c>
      <c r="H8" t="s">
        <v>24</v>
      </c>
      <c r="I8" t="s">
        <v>25</v>
      </c>
      <c r="J8">
        <v>8.5</v>
      </c>
      <c r="K8">
        <v>18859</v>
      </c>
      <c r="L8" t="s">
        <v>73</v>
      </c>
      <c r="M8" t="s">
        <v>54</v>
      </c>
      <c r="N8" t="s">
        <v>62</v>
      </c>
      <c r="O8" t="s">
        <v>46</v>
      </c>
      <c r="P8" t="s">
        <v>74</v>
      </c>
      <c r="Q8">
        <v>3</v>
      </c>
      <c r="R8">
        <v>3</v>
      </c>
    </row>
    <row r="9" spans="1:27" x14ac:dyDescent="0.3">
      <c r="A9" t="s">
        <v>75</v>
      </c>
      <c r="B9" t="s">
        <v>49</v>
      </c>
      <c r="C9" t="s">
        <v>76</v>
      </c>
      <c r="D9" t="s">
        <v>77</v>
      </c>
      <c r="E9" t="s">
        <v>78</v>
      </c>
      <c r="F9">
        <v>2023</v>
      </c>
      <c r="G9" t="s">
        <v>79</v>
      </c>
      <c r="H9" t="s">
        <v>24</v>
      </c>
      <c r="I9" t="s">
        <v>61</v>
      </c>
      <c r="J9">
        <v>9.4</v>
      </c>
      <c r="K9">
        <v>7457</v>
      </c>
      <c r="L9" t="s">
        <v>26</v>
      </c>
      <c r="M9" t="s">
        <v>80</v>
      </c>
      <c r="N9" t="s">
        <v>28</v>
      </c>
      <c r="O9" t="s">
        <v>46</v>
      </c>
      <c r="P9" t="s">
        <v>56</v>
      </c>
      <c r="Q9">
        <v>8</v>
      </c>
      <c r="R9">
        <v>3</v>
      </c>
    </row>
    <row r="10" spans="1:27" x14ac:dyDescent="0.3">
      <c r="A10" t="s">
        <v>81</v>
      </c>
      <c r="B10" t="s">
        <v>19</v>
      </c>
      <c r="C10" t="s">
        <v>76</v>
      </c>
      <c r="D10" t="s">
        <v>82</v>
      </c>
      <c r="E10" t="s">
        <v>83</v>
      </c>
      <c r="F10">
        <v>2020</v>
      </c>
      <c r="G10" t="s">
        <v>84</v>
      </c>
      <c r="H10" t="s">
        <v>35</v>
      </c>
      <c r="I10" t="s">
        <v>85</v>
      </c>
      <c r="J10">
        <v>9.8000000000000007</v>
      </c>
      <c r="K10">
        <v>37756</v>
      </c>
      <c r="L10" t="s">
        <v>26</v>
      </c>
      <c r="M10" t="s">
        <v>80</v>
      </c>
      <c r="N10" t="s">
        <v>62</v>
      </c>
      <c r="O10" t="s">
        <v>46</v>
      </c>
      <c r="P10" t="s">
        <v>86</v>
      </c>
      <c r="Q10">
        <v>7.8</v>
      </c>
      <c r="R10">
        <v>6</v>
      </c>
    </row>
    <row r="11" spans="1:27" x14ac:dyDescent="0.3">
      <c r="A11" t="s">
        <v>87</v>
      </c>
      <c r="B11" t="s">
        <v>70</v>
      </c>
      <c r="C11" t="s">
        <v>76</v>
      </c>
      <c r="D11" t="s">
        <v>21</v>
      </c>
      <c r="E11" t="s">
        <v>88</v>
      </c>
      <c r="F11">
        <v>2019</v>
      </c>
      <c r="G11" t="s">
        <v>23</v>
      </c>
      <c r="H11" t="s">
        <v>24</v>
      </c>
      <c r="I11" t="s">
        <v>25</v>
      </c>
      <c r="J11">
        <v>15.8</v>
      </c>
      <c r="K11">
        <v>18761</v>
      </c>
      <c r="L11" t="s">
        <v>45</v>
      </c>
      <c r="M11" t="s">
        <v>54</v>
      </c>
      <c r="N11" t="s">
        <v>62</v>
      </c>
      <c r="O11" t="s">
        <v>29</v>
      </c>
      <c r="P11" t="s">
        <v>38</v>
      </c>
      <c r="Q11">
        <v>3.3</v>
      </c>
      <c r="R11">
        <v>7</v>
      </c>
    </row>
    <row r="12" spans="1:27" x14ac:dyDescent="0.3">
      <c r="A12" t="s">
        <v>89</v>
      </c>
      <c r="B12" t="s">
        <v>49</v>
      </c>
      <c r="C12" t="s">
        <v>64</v>
      </c>
      <c r="D12" t="s">
        <v>21</v>
      </c>
      <c r="E12" t="s">
        <v>90</v>
      </c>
      <c r="F12">
        <v>2024</v>
      </c>
      <c r="G12" t="s">
        <v>91</v>
      </c>
      <c r="H12" t="s">
        <v>24</v>
      </c>
      <c r="I12" t="s">
        <v>61</v>
      </c>
      <c r="J12">
        <v>9.9</v>
      </c>
      <c r="K12">
        <v>36257</v>
      </c>
      <c r="L12" t="s">
        <v>26</v>
      </c>
      <c r="M12" t="s">
        <v>37</v>
      </c>
      <c r="N12" t="s">
        <v>55</v>
      </c>
      <c r="O12" t="s">
        <v>29</v>
      </c>
      <c r="P12" t="s">
        <v>30</v>
      </c>
      <c r="Q12">
        <v>9.3000000000000007</v>
      </c>
      <c r="R12">
        <v>2</v>
      </c>
    </row>
    <row r="13" spans="1:27" x14ac:dyDescent="0.3">
      <c r="A13" t="s">
        <v>92</v>
      </c>
      <c r="B13" t="s">
        <v>19</v>
      </c>
      <c r="C13" t="s">
        <v>64</v>
      </c>
      <c r="D13" t="s">
        <v>93</v>
      </c>
      <c r="E13" t="s">
        <v>94</v>
      </c>
      <c r="F13">
        <v>2018</v>
      </c>
      <c r="G13" t="s">
        <v>95</v>
      </c>
      <c r="H13" t="s">
        <v>96</v>
      </c>
      <c r="I13" t="s">
        <v>44</v>
      </c>
      <c r="J13">
        <v>13.3</v>
      </c>
      <c r="K13">
        <v>6035</v>
      </c>
      <c r="L13" t="s">
        <v>45</v>
      </c>
      <c r="M13" t="s">
        <v>54</v>
      </c>
      <c r="N13" t="s">
        <v>28</v>
      </c>
      <c r="O13" t="s">
        <v>46</v>
      </c>
      <c r="P13" t="s">
        <v>47</v>
      </c>
      <c r="Q13">
        <v>9.5</v>
      </c>
      <c r="R13">
        <v>8</v>
      </c>
    </row>
    <row r="14" spans="1:27" x14ac:dyDescent="0.3">
      <c r="A14" t="s">
        <v>97</v>
      </c>
      <c r="B14" t="s">
        <v>49</v>
      </c>
      <c r="C14" t="s">
        <v>32</v>
      </c>
      <c r="D14" t="s">
        <v>82</v>
      </c>
      <c r="E14" t="s">
        <v>98</v>
      </c>
      <c r="F14">
        <v>2016</v>
      </c>
      <c r="G14" t="s">
        <v>99</v>
      </c>
      <c r="H14" t="s">
        <v>96</v>
      </c>
      <c r="I14" t="s">
        <v>100</v>
      </c>
      <c r="J14">
        <v>13.7</v>
      </c>
      <c r="K14">
        <v>14682</v>
      </c>
      <c r="L14" t="s">
        <v>101</v>
      </c>
      <c r="M14" t="s">
        <v>37</v>
      </c>
      <c r="N14" t="s">
        <v>55</v>
      </c>
      <c r="O14" t="s">
        <v>46</v>
      </c>
      <c r="P14" t="s">
        <v>38</v>
      </c>
      <c r="Q14">
        <v>4</v>
      </c>
      <c r="R14">
        <v>10</v>
      </c>
    </row>
    <row r="15" spans="1:27" x14ac:dyDescent="0.3">
      <c r="A15" t="s">
        <v>102</v>
      </c>
      <c r="B15" t="s">
        <v>19</v>
      </c>
      <c r="C15" t="s">
        <v>64</v>
      </c>
      <c r="D15" t="s">
        <v>21</v>
      </c>
      <c r="E15" t="s">
        <v>103</v>
      </c>
      <c r="F15">
        <v>2022</v>
      </c>
      <c r="G15" t="s">
        <v>104</v>
      </c>
      <c r="H15" t="s">
        <v>24</v>
      </c>
      <c r="I15" t="s">
        <v>44</v>
      </c>
      <c r="J15">
        <v>10.8</v>
      </c>
      <c r="K15">
        <v>16580</v>
      </c>
      <c r="L15" t="s">
        <v>45</v>
      </c>
      <c r="M15" t="s">
        <v>54</v>
      </c>
      <c r="N15" t="s">
        <v>28</v>
      </c>
      <c r="O15" t="s">
        <v>29</v>
      </c>
      <c r="P15" t="s">
        <v>38</v>
      </c>
      <c r="Q15">
        <v>6.5</v>
      </c>
      <c r="R15">
        <v>4</v>
      </c>
    </row>
    <row r="16" spans="1:27" x14ac:dyDescent="0.3">
      <c r="A16" t="s">
        <v>105</v>
      </c>
      <c r="B16" t="s">
        <v>19</v>
      </c>
      <c r="C16" t="s">
        <v>20</v>
      </c>
      <c r="D16" t="s">
        <v>41</v>
      </c>
      <c r="E16" t="s">
        <v>106</v>
      </c>
      <c r="F16">
        <v>2017</v>
      </c>
      <c r="G16" t="s">
        <v>107</v>
      </c>
      <c r="H16" t="s">
        <v>35</v>
      </c>
      <c r="I16" t="s">
        <v>53</v>
      </c>
      <c r="J16">
        <v>12.2</v>
      </c>
      <c r="K16">
        <v>15540</v>
      </c>
      <c r="L16" t="s">
        <v>45</v>
      </c>
      <c r="M16" t="s">
        <v>54</v>
      </c>
      <c r="N16" t="s">
        <v>62</v>
      </c>
      <c r="O16" t="s">
        <v>46</v>
      </c>
      <c r="P16" t="s">
        <v>74</v>
      </c>
      <c r="Q16">
        <v>5</v>
      </c>
      <c r="R16">
        <v>9</v>
      </c>
    </row>
    <row r="17" spans="1:18" x14ac:dyDescent="0.3">
      <c r="A17" t="s">
        <v>108</v>
      </c>
      <c r="B17" t="s">
        <v>58</v>
      </c>
      <c r="C17" t="s">
        <v>64</v>
      </c>
      <c r="D17" t="s">
        <v>41</v>
      </c>
      <c r="E17" t="s">
        <v>109</v>
      </c>
      <c r="F17">
        <v>2021</v>
      </c>
      <c r="G17" t="s">
        <v>110</v>
      </c>
      <c r="H17" t="s">
        <v>24</v>
      </c>
      <c r="I17" t="s">
        <v>85</v>
      </c>
      <c r="J17">
        <v>6.7</v>
      </c>
      <c r="K17">
        <v>28441</v>
      </c>
      <c r="L17" t="s">
        <v>36</v>
      </c>
      <c r="M17" t="s">
        <v>80</v>
      </c>
      <c r="N17" t="s">
        <v>62</v>
      </c>
      <c r="O17" t="s">
        <v>46</v>
      </c>
      <c r="P17" t="s">
        <v>38</v>
      </c>
      <c r="Q17">
        <v>1.4</v>
      </c>
      <c r="R17">
        <v>5</v>
      </c>
    </row>
    <row r="18" spans="1:18" x14ac:dyDescent="0.3">
      <c r="A18" t="s">
        <v>111</v>
      </c>
      <c r="B18" t="s">
        <v>70</v>
      </c>
      <c r="C18" t="s">
        <v>112</v>
      </c>
      <c r="D18" t="s">
        <v>21</v>
      </c>
      <c r="E18" t="s">
        <v>113</v>
      </c>
      <c r="F18">
        <v>2020</v>
      </c>
      <c r="G18" t="s">
        <v>114</v>
      </c>
      <c r="H18" t="s">
        <v>24</v>
      </c>
      <c r="I18" t="s">
        <v>100</v>
      </c>
      <c r="J18">
        <v>8.4</v>
      </c>
      <c r="K18">
        <v>29148</v>
      </c>
      <c r="L18" t="s">
        <v>73</v>
      </c>
      <c r="M18" t="s">
        <v>37</v>
      </c>
      <c r="N18" t="s">
        <v>55</v>
      </c>
      <c r="O18" t="s">
        <v>29</v>
      </c>
      <c r="P18" t="s">
        <v>30</v>
      </c>
      <c r="Q18">
        <v>4.7</v>
      </c>
      <c r="R18">
        <v>6</v>
      </c>
    </row>
    <row r="19" spans="1:18" x14ac:dyDescent="0.3">
      <c r="A19" t="s">
        <v>115</v>
      </c>
      <c r="B19" t="s">
        <v>19</v>
      </c>
      <c r="C19" t="s">
        <v>32</v>
      </c>
      <c r="D19" t="s">
        <v>50</v>
      </c>
      <c r="E19" t="s">
        <v>116</v>
      </c>
      <c r="F19">
        <v>2022</v>
      </c>
      <c r="G19" t="s">
        <v>117</v>
      </c>
      <c r="H19" t="s">
        <v>24</v>
      </c>
      <c r="I19" t="s">
        <v>44</v>
      </c>
      <c r="J19">
        <v>16.7</v>
      </c>
      <c r="K19">
        <v>16991</v>
      </c>
      <c r="L19" t="s">
        <v>73</v>
      </c>
      <c r="M19" t="s">
        <v>27</v>
      </c>
      <c r="N19" t="s">
        <v>55</v>
      </c>
      <c r="O19" t="s">
        <v>118</v>
      </c>
      <c r="P19" t="s">
        <v>56</v>
      </c>
      <c r="Q19">
        <v>8.6999999999999993</v>
      </c>
      <c r="R19">
        <v>4</v>
      </c>
    </row>
    <row r="20" spans="1:18" x14ac:dyDescent="0.3">
      <c r="A20" t="s">
        <v>119</v>
      </c>
      <c r="B20" t="s">
        <v>58</v>
      </c>
      <c r="C20" t="s">
        <v>112</v>
      </c>
      <c r="D20" t="s">
        <v>82</v>
      </c>
      <c r="E20" t="s">
        <v>120</v>
      </c>
      <c r="F20">
        <v>2014</v>
      </c>
      <c r="G20" t="s">
        <v>121</v>
      </c>
      <c r="H20" t="s">
        <v>24</v>
      </c>
      <c r="I20" t="s">
        <v>85</v>
      </c>
      <c r="J20">
        <v>5.5</v>
      </c>
      <c r="K20">
        <v>37922</v>
      </c>
      <c r="L20" t="s">
        <v>101</v>
      </c>
      <c r="M20" t="s">
        <v>27</v>
      </c>
      <c r="N20" t="s">
        <v>28</v>
      </c>
      <c r="O20" t="s">
        <v>29</v>
      </c>
      <c r="P20" t="s">
        <v>86</v>
      </c>
      <c r="Q20">
        <v>2.6</v>
      </c>
      <c r="R20">
        <v>12</v>
      </c>
    </row>
    <row r="21" spans="1:18" x14ac:dyDescent="0.3">
      <c r="A21" t="s">
        <v>122</v>
      </c>
      <c r="B21" t="s">
        <v>49</v>
      </c>
      <c r="C21" t="s">
        <v>112</v>
      </c>
      <c r="D21" t="s">
        <v>65</v>
      </c>
      <c r="E21" t="s">
        <v>123</v>
      </c>
      <c r="F21">
        <v>2014</v>
      </c>
      <c r="G21" t="s">
        <v>124</v>
      </c>
      <c r="H21" t="s">
        <v>24</v>
      </c>
      <c r="I21" t="s">
        <v>44</v>
      </c>
      <c r="J21">
        <v>10.7</v>
      </c>
      <c r="K21">
        <v>34454</v>
      </c>
      <c r="L21" t="s">
        <v>45</v>
      </c>
      <c r="M21" t="s">
        <v>54</v>
      </c>
      <c r="N21" t="s">
        <v>28</v>
      </c>
      <c r="O21" t="s">
        <v>46</v>
      </c>
      <c r="P21" t="s">
        <v>30</v>
      </c>
      <c r="Q21">
        <v>8.6</v>
      </c>
      <c r="R21">
        <v>12</v>
      </c>
    </row>
    <row r="22" spans="1:18" x14ac:dyDescent="0.3">
      <c r="A22" t="s">
        <v>125</v>
      </c>
      <c r="B22" t="s">
        <v>19</v>
      </c>
      <c r="C22" t="s">
        <v>64</v>
      </c>
      <c r="D22" t="s">
        <v>82</v>
      </c>
      <c r="E22" t="s">
        <v>126</v>
      </c>
      <c r="F22">
        <v>2015</v>
      </c>
      <c r="G22" t="s">
        <v>84</v>
      </c>
      <c r="H22" t="s">
        <v>24</v>
      </c>
      <c r="I22" t="s">
        <v>100</v>
      </c>
      <c r="J22">
        <v>4.8</v>
      </c>
      <c r="K22">
        <v>40462</v>
      </c>
      <c r="L22" t="s">
        <v>26</v>
      </c>
      <c r="M22" t="s">
        <v>80</v>
      </c>
      <c r="N22" t="s">
        <v>55</v>
      </c>
      <c r="O22" t="s">
        <v>46</v>
      </c>
      <c r="P22" t="s">
        <v>74</v>
      </c>
      <c r="Q22">
        <v>5.9</v>
      </c>
      <c r="R22">
        <v>11</v>
      </c>
    </row>
    <row r="23" spans="1:18" x14ac:dyDescent="0.3">
      <c r="A23" t="s">
        <v>127</v>
      </c>
      <c r="B23" t="s">
        <v>40</v>
      </c>
      <c r="C23" t="s">
        <v>20</v>
      </c>
      <c r="D23" t="s">
        <v>21</v>
      </c>
      <c r="E23" t="s">
        <v>128</v>
      </c>
      <c r="F23">
        <v>2019</v>
      </c>
      <c r="G23" t="s">
        <v>129</v>
      </c>
      <c r="H23" t="s">
        <v>24</v>
      </c>
      <c r="I23" t="s">
        <v>61</v>
      </c>
      <c r="J23">
        <v>12.3</v>
      </c>
      <c r="K23">
        <v>21160</v>
      </c>
      <c r="L23" t="s">
        <v>36</v>
      </c>
      <c r="M23" t="s">
        <v>37</v>
      </c>
      <c r="N23" t="s">
        <v>28</v>
      </c>
      <c r="O23" t="s">
        <v>29</v>
      </c>
      <c r="P23" t="s">
        <v>47</v>
      </c>
      <c r="Q23">
        <v>6.4</v>
      </c>
      <c r="R23">
        <v>7</v>
      </c>
    </row>
    <row r="24" spans="1:18" x14ac:dyDescent="0.3">
      <c r="A24" t="s">
        <v>130</v>
      </c>
      <c r="B24" t="s">
        <v>19</v>
      </c>
      <c r="C24" t="s">
        <v>32</v>
      </c>
      <c r="D24" t="s">
        <v>21</v>
      </c>
      <c r="E24" t="s">
        <v>131</v>
      </c>
      <c r="F24">
        <v>2023</v>
      </c>
      <c r="G24" t="s">
        <v>117</v>
      </c>
      <c r="H24" t="s">
        <v>35</v>
      </c>
      <c r="I24" t="s">
        <v>61</v>
      </c>
      <c r="J24">
        <v>16.8</v>
      </c>
      <c r="K24">
        <v>6008</v>
      </c>
      <c r="L24" t="s">
        <v>73</v>
      </c>
      <c r="M24" t="s">
        <v>37</v>
      </c>
      <c r="N24" t="s">
        <v>55</v>
      </c>
      <c r="O24" t="s">
        <v>29</v>
      </c>
      <c r="P24" t="s">
        <v>47</v>
      </c>
      <c r="Q24">
        <v>8.4</v>
      </c>
      <c r="R24">
        <v>3</v>
      </c>
    </row>
    <row r="25" spans="1:18" x14ac:dyDescent="0.3">
      <c r="A25" t="s">
        <v>132</v>
      </c>
      <c r="B25" t="s">
        <v>49</v>
      </c>
      <c r="C25" t="s">
        <v>32</v>
      </c>
      <c r="D25" t="s">
        <v>41</v>
      </c>
      <c r="E25" t="s">
        <v>133</v>
      </c>
      <c r="F25">
        <v>2025</v>
      </c>
      <c r="G25" t="s">
        <v>134</v>
      </c>
      <c r="H25" t="s">
        <v>35</v>
      </c>
      <c r="I25" t="s">
        <v>100</v>
      </c>
      <c r="J25">
        <v>5.7</v>
      </c>
      <c r="K25">
        <v>44975</v>
      </c>
      <c r="L25" t="s">
        <v>26</v>
      </c>
      <c r="M25" t="s">
        <v>54</v>
      </c>
      <c r="N25" t="s">
        <v>55</v>
      </c>
      <c r="O25" t="s">
        <v>29</v>
      </c>
      <c r="P25" t="s">
        <v>30</v>
      </c>
      <c r="Q25">
        <v>7.6</v>
      </c>
      <c r="R25">
        <v>1</v>
      </c>
    </row>
    <row r="26" spans="1:18" x14ac:dyDescent="0.3">
      <c r="A26" t="s">
        <v>135</v>
      </c>
      <c r="B26" t="s">
        <v>70</v>
      </c>
      <c r="C26" t="s">
        <v>32</v>
      </c>
      <c r="D26" t="s">
        <v>21</v>
      </c>
      <c r="E26" t="s">
        <v>136</v>
      </c>
      <c r="F26">
        <v>2016</v>
      </c>
      <c r="G26" t="s">
        <v>67</v>
      </c>
      <c r="H26" t="s">
        <v>35</v>
      </c>
      <c r="I26" t="s">
        <v>61</v>
      </c>
      <c r="J26">
        <v>12.5</v>
      </c>
      <c r="K26">
        <v>18800</v>
      </c>
      <c r="L26" t="s">
        <v>45</v>
      </c>
      <c r="M26" t="s">
        <v>27</v>
      </c>
      <c r="N26" t="s">
        <v>55</v>
      </c>
      <c r="O26" t="s">
        <v>29</v>
      </c>
      <c r="P26" t="s">
        <v>30</v>
      </c>
      <c r="Q26">
        <v>6.5</v>
      </c>
      <c r="R26">
        <v>10</v>
      </c>
    </row>
    <row r="27" spans="1:18" x14ac:dyDescent="0.3">
      <c r="A27" t="s">
        <v>137</v>
      </c>
      <c r="B27" t="s">
        <v>19</v>
      </c>
      <c r="C27" t="s">
        <v>20</v>
      </c>
      <c r="D27" t="s">
        <v>50</v>
      </c>
      <c r="E27" t="s">
        <v>138</v>
      </c>
      <c r="F27">
        <v>2018</v>
      </c>
      <c r="G27" t="s">
        <v>139</v>
      </c>
      <c r="H27" t="s">
        <v>24</v>
      </c>
      <c r="I27" t="s">
        <v>53</v>
      </c>
      <c r="J27">
        <v>3.3</v>
      </c>
      <c r="K27">
        <v>30456</v>
      </c>
      <c r="L27" t="s">
        <v>45</v>
      </c>
      <c r="M27" t="s">
        <v>27</v>
      </c>
      <c r="N27" t="s">
        <v>62</v>
      </c>
      <c r="O27" t="s">
        <v>29</v>
      </c>
      <c r="P27" t="s">
        <v>30</v>
      </c>
      <c r="Q27">
        <v>1.2</v>
      </c>
      <c r="R27">
        <v>8</v>
      </c>
    </row>
    <row r="28" spans="1:18" x14ac:dyDescent="0.3">
      <c r="A28" t="s">
        <v>140</v>
      </c>
      <c r="B28" t="s">
        <v>49</v>
      </c>
      <c r="C28" t="s">
        <v>112</v>
      </c>
      <c r="D28" t="s">
        <v>50</v>
      </c>
      <c r="E28" t="s">
        <v>141</v>
      </c>
      <c r="F28">
        <v>2025</v>
      </c>
      <c r="G28" t="s">
        <v>142</v>
      </c>
      <c r="H28" t="s">
        <v>24</v>
      </c>
      <c r="I28" t="s">
        <v>100</v>
      </c>
      <c r="J28">
        <v>3.1</v>
      </c>
      <c r="K28">
        <v>9852</v>
      </c>
      <c r="L28" t="s">
        <v>26</v>
      </c>
      <c r="M28" t="s">
        <v>37</v>
      </c>
      <c r="N28" t="s">
        <v>55</v>
      </c>
      <c r="O28" t="s">
        <v>29</v>
      </c>
      <c r="P28" t="s">
        <v>86</v>
      </c>
      <c r="Q28">
        <v>2.5</v>
      </c>
      <c r="R28">
        <v>1</v>
      </c>
    </row>
    <row r="29" spans="1:18" x14ac:dyDescent="0.3">
      <c r="A29" t="s">
        <v>143</v>
      </c>
      <c r="B29" t="s">
        <v>19</v>
      </c>
      <c r="C29" t="s">
        <v>20</v>
      </c>
      <c r="D29" t="s">
        <v>50</v>
      </c>
      <c r="E29" t="s">
        <v>144</v>
      </c>
      <c r="F29">
        <v>2017</v>
      </c>
      <c r="G29" t="s">
        <v>145</v>
      </c>
      <c r="H29" t="s">
        <v>35</v>
      </c>
      <c r="I29" t="s">
        <v>85</v>
      </c>
      <c r="J29">
        <v>17.5</v>
      </c>
      <c r="K29">
        <v>11628</v>
      </c>
      <c r="L29" t="s">
        <v>73</v>
      </c>
      <c r="M29" t="s">
        <v>54</v>
      </c>
      <c r="N29" t="s">
        <v>28</v>
      </c>
      <c r="O29" t="s">
        <v>118</v>
      </c>
      <c r="P29" t="s">
        <v>30</v>
      </c>
      <c r="Q29">
        <v>2.2000000000000002</v>
      </c>
      <c r="R29">
        <v>9</v>
      </c>
    </row>
    <row r="30" spans="1:18" x14ac:dyDescent="0.3">
      <c r="A30" t="s">
        <v>146</v>
      </c>
      <c r="B30" t="s">
        <v>58</v>
      </c>
      <c r="C30" t="s">
        <v>64</v>
      </c>
      <c r="D30" t="s">
        <v>77</v>
      </c>
      <c r="E30" t="s">
        <v>147</v>
      </c>
      <c r="F30">
        <v>2019</v>
      </c>
      <c r="G30" t="s">
        <v>148</v>
      </c>
      <c r="H30" t="s">
        <v>24</v>
      </c>
      <c r="I30" t="s">
        <v>25</v>
      </c>
      <c r="J30">
        <v>2.4</v>
      </c>
      <c r="K30">
        <v>4037</v>
      </c>
      <c r="L30" t="s">
        <v>36</v>
      </c>
      <c r="M30" t="s">
        <v>54</v>
      </c>
      <c r="N30" t="s">
        <v>28</v>
      </c>
      <c r="O30" t="s">
        <v>118</v>
      </c>
      <c r="P30" t="s">
        <v>86</v>
      </c>
      <c r="Q30">
        <v>3.4</v>
      </c>
      <c r="R30">
        <v>7</v>
      </c>
    </row>
    <row r="31" spans="1:18" x14ac:dyDescent="0.3">
      <c r="A31" t="s">
        <v>149</v>
      </c>
      <c r="B31" t="s">
        <v>19</v>
      </c>
      <c r="C31" t="s">
        <v>64</v>
      </c>
      <c r="D31" t="s">
        <v>82</v>
      </c>
      <c r="E31" t="s">
        <v>150</v>
      </c>
      <c r="F31">
        <v>2017</v>
      </c>
      <c r="G31" t="s">
        <v>151</v>
      </c>
      <c r="H31" t="s">
        <v>24</v>
      </c>
      <c r="I31" t="s">
        <v>44</v>
      </c>
      <c r="J31">
        <v>17.399999999999999</v>
      </c>
      <c r="K31">
        <v>19792</v>
      </c>
      <c r="L31" t="s">
        <v>68</v>
      </c>
      <c r="M31" t="s">
        <v>27</v>
      </c>
      <c r="N31" t="s">
        <v>62</v>
      </c>
      <c r="O31" t="s">
        <v>46</v>
      </c>
      <c r="P31" t="s">
        <v>86</v>
      </c>
      <c r="Q31">
        <v>9.4</v>
      </c>
      <c r="R31">
        <v>9</v>
      </c>
    </row>
    <row r="32" spans="1:18" x14ac:dyDescent="0.3">
      <c r="A32" t="s">
        <v>152</v>
      </c>
      <c r="B32" t="s">
        <v>40</v>
      </c>
      <c r="C32" t="s">
        <v>32</v>
      </c>
      <c r="D32" t="s">
        <v>77</v>
      </c>
      <c r="E32" t="s">
        <v>153</v>
      </c>
      <c r="F32">
        <v>2015</v>
      </c>
      <c r="G32" t="s">
        <v>129</v>
      </c>
      <c r="H32" t="s">
        <v>24</v>
      </c>
      <c r="I32" t="s">
        <v>100</v>
      </c>
      <c r="J32">
        <v>8.1</v>
      </c>
      <c r="K32">
        <v>22057</v>
      </c>
      <c r="L32" t="s">
        <v>36</v>
      </c>
      <c r="M32" t="s">
        <v>80</v>
      </c>
      <c r="N32" t="s">
        <v>55</v>
      </c>
      <c r="O32" t="s">
        <v>46</v>
      </c>
      <c r="P32" t="s">
        <v>56</v>
      </c>
      <c r="Q32">
        <v>2.9</v>
      </c>
      <c r="R32">
        <v>11</v>
      </c>
    </row>
    <row r="33" spans="1:18" x14ac:dyDescent="0.3">
      <c r="A33" t="s">
        <v>154</v>
      </c>
      <c r="B33" t="s">
        <v>19</v>
      </c>
      <c r="C33" t="s">
        <v>32</v>
      </c>
      <c r="D33" t="s">
        <v>50</v>
      </c>
      <c r="E33" t="s">
        <v>155</v>
      </c>
      <c r="F33">
        <v>2025</v>
      </c>
      <c r="G33" t="s">
        <v>156</v>
      </c>
      <c r="H33" t="s">
        <v>35</v>
      </c>
      <c r="I33" t="s">
        <v>25</v>
      </c>
      <c r="J33">
        <v>17</v>
      </c>
      <c r="K33">
        <v>14412</v>
      </c>
      <c r="L33" t="s">
        <v>68</v>
      </c>
      <c r="M33" t="s">
        <v>27</v>
      </c>
      <c r="N33" t="s">
        <v>28</v>
      </c>
      <c r="O33" t="s">
        <v>46</v>
      </c>
      <c r="P33" t="s">
        <v>86</v>
      </c>
      <c r="Q33">
        <v>6.4</v>
      </c>
      <c r="R33">
        <v>1</v>
      </c>
    </row>
    <row r="34" spans="1:18" x14ac:dyDescent="0.3">
      <c r="A34" t="s">
        <v>157</v>
      </c>
      <c r="B34" t="s">
        <v>70</v>
      </c>
      <c r="C34" t="s">
        <v>32</v>
      </c>
      <c r="D34" t="s">
        <v>77</v>
      </c>
      <c r="E34" t="s">
        <v>158</v>
      </c>
      <c r="F34">
        <v>2024</v>
      </c>
      <c r="G34" t="s">
        <v>159</v>
      </c>
      <c r="H34" t="s">
        <v>35</v>
      </c>
      <c r="I34" t="s">
        <v>53</v>
      </c>
      <c r="J34">
        <v>7.5</v>
      </c>
      <c r="K34">
        <v>20876</v>
      </c>
      <c r="L34" t="s">
        <v>45</v>
      </c>
      <c r="M34" t="s">
        <v>54</v>
      </c>
      <c r="N34" t="s">
        <v>28</v>
      </c>
      <c r="O34" t="s">
        <v>118</v>
      </c>
      <c r="P34" t="s">
        <v>38</v>
      </c>
      <c r="Q34">
        <v>9.4</v>
      </c>
      <c r="R34">
        <v>2</v>
      </c>
    </row>
    <row r="35" spans="1:18" x14ac:dyDescent="0.3">
      <c r="A35" t="s">
        <v>160</v>
      </c>
      <c r="B35" t="s">
        <v>40</v>
      </c>
      <c r="C35" t="s">
        <v>32</v>
      </c>
      <c r="D35" t="s">
        <v>93</v>
      </c>
      <c r="E35" t="s">
        <v>161</v>
      </c>
      <c r="F35">
        <v>2024</v>
      </c>
      <c r="G35" t="s">
        <v>162</v>
      </c>
      <c r="H35" t="s">
        <v>24</v>
      </c>
      <c r="I35" t="s">
        <v>100</v>
      </c>
      <c r="J35">
        <v>15.1</v>
      </c>
      <c r="K35">
        <v>21414</v>
      </c>
      <c r="L35" t="s">
        <v>68</v>
      </c>
      <c r="M35" t="s">
        <v>54</v>
      </c>
      <c r="N35" t="s">
        <v>55</v>
      </c>
      <c r="O35" t="s">
        <v>46</v>
      </c>
      <c r="P35" t="s">
        <v>74</v>
      </c>
      <c r="Q35">
        <v>6.7</v>
      </c>
      <c r="R35">
        <v>2</v>
      </c>
    </row>
    <row r="36" spans="1:18" x14ac:dyDescent="0.3">
      <c r="A36" t="s">
        <v>163</v>
      </c>
      <c r="B36" t="s">
        <v>58</v>
      </c>
      <c r="C36" t="s">
        <v>64</v>
      </c>
      <c r="D36" t="s">
        <v>93</v>
      </c>
      <c r="E36" t="s">
        <v>164</v>
      </c>
      <c r="F36">
        <v>2021</v>
      </c>
      <c r="G36" t="s">
        <v>165</v>
      </c>
      <c r="H36" t="s">
        <v>24</v>
      </c>
      <c r="I36" t="s">
        <v>25</v>
      </c>
      <c r="J36">
        <v>3.5</v>
      </c>
      <c r="K36">
        <v>7057</v>
      </c>
      <c r="L36" t="s">
        <v>68</v>
      </c>
      <c r="M36" t="s">
        <v>37</v>
      </c>
      <c r="N36" t="s">
        <v>28</v>
      </c>
      <c r="O36" t="s">
        <v>29</v>
      </c>
      <c r="P36" t="s">
        <v>38</v>
      </c>
      <c r="Q36">
        <v>3.4</v>
      </c>
      <c r="R36">
        <v>5</v>
      </c>
    </row>
    <row r="37" spans="1:18" x14ac:dyDescent="0.3">
      <c r="A37" t="s">
        <v>166</v>
      </c>
      <c r="B37" t="s">
        <v>19</v>
      </c>
      <c r="C37" t="s">
        <v>112</v>
      </c>
      <c r="D37" t="s">
        <v>21</v>
      </c>
      <c r="E37" t="s">
        <v>167</v>
      </c>
      <c r="F37">
        <v>2017</v>
      </c>
      <c r="G37" t="s">
        <v>168</v>
      </c>
      <c r="H37" t="s">
        <v>96</v>
      </c>
      <c r="I37" t="s">
        <v>100</v>
      </c>
      <c r="J37">
        <v>15.4</v>
      </c>
      <c r="K37">
        <v>6272</v>
      </c>
      <c r="L37" t="s">
        <v>36</v>
      </c>
      <c r="M37" t="s">
        <v>27</v>
      </c>
      <c r="N37" t="s">
        <v>62</v>
      </c>
      <c r="O37" t="s">
        <v>46</v>
      </c>
      <c r="P37" t="s">
        <v>56</v>
      </c>
      <c r="Q37">
        <v>7.3</v>
      </c>
      <c r="R37">
        <v>9</v>
      </c>
    </row>
    <row r="38" spans="1:18" x14ac:dyDescent="0.3">
      <c r="A38" t="s">
        <v>169</v>
      </c>
      <c r="B38" t="s">
        <v>58</v>
      </c>
      <c r="C38" t="s">
        <v>64</v>
      </c>
      <c r="D38" t="s">
        <v>21</v>
      </c>
      <c r="E38" t="s">
        <v>170</v>
      </c>
      <c r="F38">
        <v>2020</v>
      </c>
      <c r="G38" t="s">
        <v>171</v>
      </c>
      <c r="H38" t="s">
        <v>35</v>
      </c>
      <c r="I38" t="s">
        <v>44</v>
      </c>
      <c r="J38">
        <v>16.100000000000001</v>
      </c>
      <c r="K38">
        <v>8485</v>
      </c>
      <c r="L38" t="s">
        <v>36</v>
      </c>
      <c r="M38" t="s">
        <v>54</v>
      </c>
      <c r="N38" t="s">
        <v>28</v>
      </c>
      <c r="O38" t="s">
        <v>46</v>
      </c>
      <c r="P38" t="s">
        <v>74</v>
      </c>
      <c r="Q38">
        <v>4.9000000000000004</v>
      </c>
      <c r="R38">
        <v>6</v>
      </c>
    </row>
    <row r="39" spans="1:18" x14ac:dyDescent="0.3">
      <c r="A39" t="s">
        <v>172</v>
      </c>
      <c r="B39" t="s">
        <v>19</v>
      </c>
      <c r="C39" t="s">
        <v>76</v>
      </c>
      <c r="D39" t="s">
        <v>21</v>
      </c>
      <c r="E39" t="s">
        <v>173</v>
      </c>
      <c r="F39">
        <v>2022</v>
      </c>
      <c r="G39" t="s">
        <v>174</v>
      </c>
      <c r="H39" t="s">
        <v>35</v>
      </c>
      <c r="I39" t="s">
        <v>25</v>
      </c>
      <c r="J39">
        <v>9.8000000000000007</v>
      </c>
      <c r="K39">
        <v>38129</v>
      </c>
      <c r="L39" t="s">
        <v>45</v>
      </c>
      <c r="M39" t="s">
        <v>37</v>
      </c>
      <c r="N39" t="s">
        <v>55</v>
      </c>
      <c r="O39" t="s">
        <v>46</v>
      </c>
      <c r="P39" t="s">
        <v>38</v>
      </c>
      <c r="Q39">
        <v>9</v>
      </c>
      <c r="R39">
        <v>4</v>
      </c>
    </row>
    <row r="40" spans="1:18" x14ac:dyDescent="0.3">
      <c r="A40" t="s">
        <v>175</v>
      </c>
      <c r="B40" t="s">
        <v>58</v>
      </c>
      <c r="C40" t="s">
        <v>64</v>
      </c>
      <c r="D40" t="s">
        <v>65</v>
      </c>
      <c r="E40" t="s">
        <v>176</v>
      </c>
      <c r="F40">
        <v>2020</v>
      </c>
      <c r="G40" t="s">
        <v>177</v>
      </c>
      <c r="H40" t="s">
        <v>96</v>
      </c>
      <c r="I40" t="s">
        <v>85</v>
      </c>
      <c r="J40">
        <v>5</v>
      </c>
      <c r="K40">
        <v>17703</v>
      </c>
      <c r="L40" t="s">
        <v>101</v>
      </c>
      <c r="M40" t="s">
        <v>37</v>
      </c>
      <c r="N40" t="s">
        <v>62</v>
      </c>
      <c r="O40" t="s">
        <v>118</v>
      </c>
      <c r="P40" t="s">
        <v>38</v>
      </c>
      <c r="Q40">
        <v>2.8</v>
      </c>
      <c r="R40">
        <v>6</v>
      </c>
    </row>
    <row r="41" spans="1:18" x14ac:dyDescent="0.3">
      <c r="A41" t="s">
        <v>178</v>
      </c>
      <c r="B41" t="s">
        <v>70</v>
      </c>
      <c r="C41" t="s">
        <v>64</v>
      </c>
      <c r="D41" t="s">
        <v>77</v>
      </c>
      <c r="E41" t="s">
        <v>179</v>
      </c>
      <c r="F41">
        <v>2021</v>
      </c>
      <c r="G41" t="s">
        <v>180</v>
      </c>
      <c r="H41" t="s">
        <v>24</v>
      </c>
      <c r="I41" t="s">
        <v>100</v>
      </c>
      <c r="J41">
        <v>1.9</v>
      </c>
      <c r="K41">
        <v>11384</v>
      </c>
      <c r="L41" t="s">
        <v>73</v>
      </c>
      <c r="M41" t="s">
        <v>27</v>
      </c>
      <c r="N41" t="s">
        <v>62</v>
      </c>
      <c r="O41" t="s">
        <v>29</v>
      </c>
      <c r="P41" t="s">
        <v>38</v>
      </c>
      <c r="Q41">
        <v>2.5</v>
      </c>
      <c r="R41">
        <v>5</v>
      </c>
    </row>
    <row r="42" spans="1:18" x14ac:dyDescent="0.3">
      <c r="A42" t="s">
        <v>181</v>
      </c>
      <c r="B42" t="s">
        <v>70</v>
      </c>
      <c r="C42" t="s">
        <v>32</v>
      </c>
      <c r="D42" t="s">
        <v>82</v>
      </c>
      <c r="E42" t="s">
        <v>182</v>
      </c>
      <c r="F42">
        <v>2020</v>
      </c>
      <c r="G42" t="s">
        <v>183</v>
      </c>
      <c r="H42" t="s">
        <v>24</v>
      </c>
      <c r="I42" t="s">
        <v>61</v>
      </c>
      <c r="J42">
        <v>15.1</v>
      </c>
      <c r="K42">
        <v>27024</v>
      </c>
      <c r="L42" t="s">
        <v>45</v>
      </c>
      <c r="M42" t="s">
        <v>80</v>
      </c>
      <c r="N42" t="s">
        <v>62</v>
      </c>
      <c r="O42" t="s">
        <v>118</v>
      </c>
      <c r="P42" t="s">
        <v>47</v>
      </c>
      <c r="Q42">
        <v>0.6</v>
      </c>
      <c r="R42">
        <v>6</v>
      </c>
    </row>
    <row r="43" spans="1:18" x14ac:dyDescent="0.3">
      <c r="A43" t="s">
        <v>184</v>
      </c>
      <c r="B43" t="s">
        <v>58</v>
      </c>
      <c r="C43" t="s">
        <v>76</v>
      </c>
      <c r="D43" t="s">
        <v>93</v>
      </c>
      <c r="E43" t="s">
        <v>185</v>
      </c>
      <c r="F43">
        <v>2019</v>
      </c>
      <c r="G43" t="s">
        <v>186</v>
      </c>
      <c r="H43" t="s">
        <v>35</v>
      </c>
      <c r="I43" t="s">
        <v>100</v>
      </c>
      <c r="J43">
        <v>14.5</v>
      </c>
      <c r="K43">
        <v>15953</v>
      </c>
      <c r="L43" t="s">
        <v>36</v>
      </c>
      <c r="M43" t="s">
        <v>54</v>
      </c>
      <c r="N43" t="s">
        <v>55</v>
      </c>
      <c r="O43" t="s">
        <v>118</v>
      </c>
      <c r="P43" t="s">
        <v>47</v>
      </c>
      <c r="Q43">
        <v>0.8</v>
      </c>
      <c r="R43">
        <v>7</v>
      </c>
    </row>
    <row r="44" spans="1:18" x14ac:dyDescent="0.3">
      <c r="A44" t="s">
        <v>187</v>
      </c>
      <c r="B44" t="s">
        <v>58</v>
      </c>
      <c r="C44" t="s">
        <v>64</v>
      </c>
      <c r="D44" t="s">
        <v>50</v>
      </c>
      <c r="E44" t="s">
        <v>188</v>
      </c>
      <c r="F44">
        <v>2019</v>
      </c>
      <c r="G44" t="s">
        <v>189</v>
      </c>
      <c r="H44" t="s">
        <v>24</v>
      </c>
      <c r="I44" t="s">
        <v>61</v>
      </c>
      <c r="J44">
        <v>17.7</v>
      </c>
      <c r="K44">
        <v>36504</v>
      </c>
      <c r="L44" t="s">
        <v>26</v>
      </c>
      <c r="M44" t="s">
        <v>27</v>
      </c>
      <c r="N44" t="s">
        <v>62</v>
      </c>
      <c r="O44" t="s">
        <v>46</v>
      </c>
      <c r="P44" t="s">
        <v>38</v>
      </c>
      <c r="Q44">
        <v>0.8</v>
      </c>
      <c r="R44">
        <v>7</v>
      </c>
    </row>
    <row r="45" spans="1:18" x14ac:dyDescent="0.3">
      <c r="A45" t="s">
        <v>190</v>
      </c>
      <c r="B45" t="s">
        <v>40</v>
      </c>
      <c r="C45" t="s">
        <v>76</v>
      </c>
      <c r="D45" t="s">
        <v>21</v>
      </c>
      <c r="E45" t="s">
        <v>191</v>
      </c>
      <c r="F45">
        <v>2024</v>
      </c>
      <c r="G45" t="s">
        <v>79</v>
      </c>
      <c r="H45" t="s">
        <v>24</v>
      </c>
      <c r="I45" t="s">
        <v>85</v>
      </c>
      <c r="J45">
        <v>6.2</v>
      </c>
      <c r="K45">
        <v>31299</v>
      </c>
      <c r="L45" t="s">
        <v>68</v>
      </c>
      <c r="M45" t="s">
        <v>37</v>
      </c>
      <c r="N45" t="s">
        <v>55</v>
      </c>
      <c r="O45" t="s">
        <v>118</v>
      </c>
      <c r="P45" t="s">
        <v>47</v>
      </c>
      <c r="Q45">
        <v>2.9</v>
      </c>
      <c r="R45">
        <v>2</v>
      </c>
    </row>
    <row r="46" spans="1:18" x14ac:dyDescent="0.3">
      <c r="A46" t="s">
        <v>192</v>
      </c>
      <c r="B46" t="s">
        <v>19</v>
      </c>
      <c r="C46" t="s">
        <v>32</v>
      </c>
      <c r="D46" t="s">
        <v>41</v>
      </c>
      <c r="E46" t="s">
        <v>193</v>
      </c>
      <c r="F46">
        <v>2015</v>
      </c>
      <c r="G46" t="s">
        <v>194</v>
      </c>
      <c r="H46" t="s">
        <v>96</v>
      </c>
      <c r="I46" t="s">
        <v>53</v>
      </c>
      <c r="J46">
        <v>4.4000000000000004</v>
      </c>
      <c r="K46">
        <v>5996</v>
      </c>
      <c r="L46" t="s">
        <v>101</v>
      </c>
      <c r="M46" t="s">
        <v>80</v>
      </c>
      <c r="N46" t="s">
        <v>28</v>
      </c>
      <c r="O46" t="s">
        <v>29</v>
      </c>
      <c r="P46" t="s">
        <v>56</v>
      </c>
      <c r="Q46">
        <v>8.5</v>
      </c>
      <c r="R46">
        <v>11</v>
      </c>
    </row>
    <row r="47" spans="1:18" x14ac:dyDescent="0.3">
      <c r="A47" t="s">
        <v>195</v>
      </c>
      <c r="B47" t="s">
        <v>40</v>
      </c>
      <c r="C47" t="s">
        <v>64</v>
      </c>
      <c r="D47" t="s">
        <v>82</v>
      </c>
      <c r="E47" t="s">
        <v>196</v>
      </c>
      <c r="F47">
        <v>2023</v>
      </c>
      <c r="G47" t="s">
        <v>43</v>
      </c>
      <c r="H47" t="s">
        <v>35</v>
      </c>
      <c r="I47" t="s">
        <v>100</v>
      </c>
      <c r="J47">
        <v>17.100000000000001</v>
      </c>
      <c r="K47">
        <v>31976</v>
      </c>
      <c r="L47" t="s">
        <v>101</v>
      </c>
      <c r="M47" t="s">
        <v>37</v>
      </c>
      <c r="N47" t="s">
        <v>55</v>
      </c>
      <c r="O47" t="s">
        <v>29</v>
      </c>
      <c r="P47" t="s">
        <v>74</v>
      </c>
      <c r="Q47">
        <v>6.3</v>
      </c>
      <c r="R47">
        <v>3</v>
      </c>
    </row>
    <row r="48" spans="1:18" x14ac:dyDescent="0.3">
      <c r="A48" t="s">
        <v>197</v>
      </c>
      <c r="B48" t="s">
        <v>19</v>
      </c>
      <c r="C48" t="s">
        <v>64</v>
      </c>
      <c r="D48" t="s">
        <v>77</v>
      </c>
      <c r="E48" t="s">
        <v>198</v>
      </c>
      <c r="F48">
        <v>2025</v>
      </c>
      <c r="G48" t="s">
        <v>72</v>
      </c>
      <c r="H48" t="s">
        <v>24</v>
      </c>
      <c r="I48" t="s">
        <v>44</v>
      </c>
      <c r="J48">
        <v>16.8</v>
      </c>
      <c r="K48">
        <v>39235</v>
      </c>
      <c r="L48" t="s">
        <v>101</v>
      </c>
      <c r="M48" t="s">
        <v>27</v>
      </c>
      <c r="N48" t="s">
        <v>55</v>
      </c>
      <c r="O48" t="s">
        <v>46</v>
      </c>
      <c r="P48" t="s">
        <v>56</v>
      </c>
      <c r="Q48">
        <v>1.2</v>
      </c>
      <c r="R48">
        <v>1</v>
      </c>
    </row>
    <row r="49" spans="1:18" x14ac:dyDescent="0.3">
      <c r="A49" t="s">
        <v>199</v>
      </c>
      <c r="B49" t="s">
        <v>40</v>
      </c>
      <c r="C49" t="s">
        <v>112</v>
      </c>
      <c r="D49" t="s">
        <v>65</v>
      </c>
      <c r="E49" t="s">
        <v>200</v>
      </c>
      <c r="F49">
        <v>2025</v>
      </c>
      <c r="G49" t="s">
        <v>201</v>
      </c>
      <c r="H49" t="s">
        <v>35</v>
      </c>
      <c r="I49" t="s">
        <v>25</v>
      </c>
      <c r="J49">
        <v>11</v>
      </c>
      <c r="K49">
        <v>9433</v>
      </c>
      <c r="L49" t="s">
        <v>45</v>
      </c>
      <c r="M49" t="s">
        <v>80</v>
      </c>
      <c r="N49" t="s">
        <v>55</v>
      </c>
      <c r="O49" t="s">
        <v>46</v>
      </c>
      <c r="P49" t="s">
        <v>47</v>
      </c>
      <c r="Q49">
        <v>6.8</v>
      </c>
      <c r="R49">
        <v>1</v>
      </c>
    </row>
    <row r="50" spans="1:18" x14ac:dyDescent="0.3">
      <c r="A50" t="s">
        <v>202</v>
      </c>
      <c r="B50" t="s">
        <v>70</v>
      </c>
      <c r="C50" t="s">
        <v>112</v>
      </c>
      <c r="D50" t="s">
        <v>50</v>
      </c>
      <c r="E50" t="s">
        <v>203</v>
      </c>
      <c r="F50">
        <v>2015</v>
      </c>
      <c r="G50" t="s">
        <v>91</v>
      </c>
      <c r="H50" t="s">
        <v>24</v>
      </c>
      <c r="I50" t="s">
        <v>85</v>
      </c>
      <c r="J50">
        <v>2.2999999999999998</v>
      </c>
      <c r="K50">
        <v>25236</v>
      </c>
      <c r="L50" t="s">
        <v>101</v>
      </c>
      <c r="M50" t="s">
        <v>27</v>
      </c>
      <c r="N50" t="s">
        <v>62</v>
      </c>
      <c r="O50" t="s">
        <v>29</v>
      </c>
      <c r="P50" t="s">
        <v>47</v>
      </c>
      <c r="Q50">
        <v>2.2000000000000002</v>
      </c>
      <c r="R50">
        <v>11</v>
      </c>
    </row>
    <row r="51" spans="1:18" x14ac:dyDescent="0.3">
      <c r="A51" t="s">
        <v>204</v>
      </c>
      <c r="B51" t="s">
        <v>70</v>
      </c>
      <c r="C51" t="s">
        <v>32</v>
      </c>
      <c r="D51" t="s">
        <v>50</v>
      </c>
      <c r="E51" t="s">
        <v>205</v>
      </c>
      <c r="F51">
        <v>2022</v>
      </c>
      <c r="G51" t="s">
        <v>206</v>
      </c>
      <c r="H51" t="s">
        <v>96</v>
      </c>
      <c r="I51" t="s">
        <v>85</v>
      </c>
      <c r="J51">
        <v>8.6</v>
      </c>
      <c r="K51">
        <v>40328</v>
      </c>
      <c r="L51" t="s">
        <v>68</v>
      </c>
      <c r="M51" t="s">
        <v>37</v>
      </c>
      <c r="N51" t="s">
        <v>28</v>
      </c>
      <c r="O51" t="s">
        <v>29</v>
      </c>
      <c r="P51" t="s">
        <v>86</v>
      </c>
      <c r="Q51">
        <v>8.9</v>
      </c>
      <c r="R51">
        <v>4</v>
      </c>
    </row>
    <row r="52" spans="1:18" x14ac:dyDescent="0.3">
      <c r="A52" t="s">
        <v>207</v>
      </c>
      <c r="B52" t="s">
        <v>58</v>
      </c>
      <c r="C52" t="s">
        <v>32</v>
      </c>
      <c r="D52" t="s">
        <v>93</v>
      </c>
      <c r="E52" t="s">
        <v>208</v>
      </c>
      <c r="F52">
        <v>2017</v>
      </c>
      <c r="G52" t="s">
        <v>209</v>
      </c>
      <c r="H52" t="s">
        <v>35</v>
      </c>
      <c r="I52" t="s">
        <v>53</v>
      </c>
      <c r="J52">
        <v>1</v>
      </c>
      <c r="K52">
        <v>22800</v>
      </c>
      <c r="L52" t="s">
        <v>73</v>
      </c>
      <c r="M52" t="s">
        <v>27</v>
      </c>
      <c r="N52" t="s">
        <v>28</v>
      </c>
      <c r="O52" t="s">
        <v>118</v>
      </c>
      <c r="P52" t="s">
        <v>86</v>
      </c>
      <c r="Q52">
        <v>3.7</v>
      </c>
      <c r="R52">
        <v>9</v>
      </c>
    </row>
    <row r="53" spans="1:18" x14ac:dyDescent="0.3">
      <c r="A53" t="s">
        <v>210</v>
      </c>
      <c r="B53" t="s">
        <v>70</v>
      </c>
      <c r="C53" t="s">
        <v>32</v>
      </c>
      <c r="D53" t="s">
        <v>41</v>
      </c>
      <c r="E53" t="s">
        <v>211</v>
      </c>
      <c r="F53">
        <v>2023</v>
      </c>
      <c r="G53" t="s">
        <v>212</v>
      </c>
      <c r="H53" t="s">
        <v>35</v>
      </c>
      <c r="I53" t="s">
        <v>61</v>
      </c>
      <c r="J53">
        <v>2</v>
      </c>
      <c r="K53">
        <v>28135</v>
      </c>
      <c r="L53" t="s">
        <v>36</v>
      </c>
      <c r="M53" t="s">
        <v>54</v>
      </c>
      <c r="N53" t="s">
        <v>62</v>
      </c>
      <c r="O53" t="s">
        <v>118</v>
      </c>
      <c r="P53" t="s">
        <v>38</v>
      </c>
      <c r="Q53">
        <v>7.3</v>
      </c>
      <c r="R53">
        <v>3</v>
      </c>
    </row>
    <row r="54" spans="1:18" x14ac:dyDescent="0.3">
      <c r="A54" t="s">
        <v>213</v>
      </c>
      <c r="B54" t="s">
        <v>19</v>
      </c>
      <c r="C54" t="s">
        <v>112</v>
      </c>
      <c r="D54" t="s">
        <v>77</v>
      </c>
      <c r="E54" t="s">
        <v>214</v>
      </c>
      <c r="F54">
        <v>2021</v>
      </c>
      <c r="G54" t="s">
        <v>215</v>
      </c>
      <c r="H54" t="s">
        <v>24</v>
      </c>
      <c r="I54" t="s">
        <v>25</v>
      </c>
      <c r="J54">
        <v>4.8</v>
      </c>
      <c r="K54">
        <v>39612</v>
      </c>
      <c r="L54" t="s">
        <v>68</v>
      </c>
      <c r="M54" t="s">
        <v>27</v>
      </c>
      <c r="N54" t="s">
        <v>62</v>
      </c>
      <c r="O54" t="s">
        <v>46</v>
      </c>
      <c r="P54" t="s">
        <v>86</v>
      </c>
      <c r="Q54">
        <v>4.5</v>
      </c>
      <c r="R54">
        <v>5</v>
      </c>
    </row>
    <row r="55" spans="1:18" x14ac:dyDescent="0.3">
      <c r="A55" t="s">
        <v>216</v>
      </c>
      <c r="B55" t="s">
        <v>70</v>
      </c>
      <c r="C55" t="s">
        <v>20</v>
      </c>
      <c r="D55" t="s">
        <v>65</v>
      </c>
      <c r="E55" t="s">
        <v>217</v>
      </c>
      <c r="F55">
        <v>2025</v>
      </c>
      <c r="G55" t="s">
        <v>177</v>
      </c>
      <c r="H55" t="s">
        <v>24</v>
      </c>
      <c r="I55" t="s">
        <v>53</v>
      </c>
      <c r="J55">
        <v>4.9000000000000004</v>
      </c>
      <c r="K55">
        <v>9407</v>
      </c>
      <c r="L55" t="s">
        <v>101</v>
      </c>
      <c r="M55" t="s">
        <v>54</v>
      </c>
      <c r="N55" t="s">
        <v>55</v>
      </c>
      <c r="O55" t="s">
        <v>29</v>
      </c>
      <c r="P55" t="s">
        <v>38</v>
      </c>
      <c r="Q55">
        <v>5.6</v>
      </c>
      <c r="R55">
        <v>1</v>
      </c>
    </row>
    <row r="56" spans="1:18" x14ac:dyDescent="0.3">
      <c r="A56" t="s">
        <v>218</v>
      </c>
      <c r="B56" t="s">
        <v>40</v>
      </c>
      <c r="C56" t="s">
        <v>64</v>
      </c>
      <c r="D56" t="s">
        <v>65</v>
      </c>
      <c r="E56" t="s">
        <v>219</v>
      </c>
      <c r="F56">
        <v>2025</v>
      </c>
      <c r="G56" t="s">
        <v>220</v>
      </c>
      <c r="H56" t="s">
        <v>24</v>
      </c>
      <c r="I56" t="s">
        <v>25</v>
      </c>
      <c r="J56">
        <v>10.8</v>
      </c>
      <c r="K56">
        <v>35882</v>
      </c>
      <c r="L56" t="s">
        <v>45</v>
      </c>
      <c r="M56" t="s">
        <v>37</v>
      </c>
      <c r="N56" t="s">
        <v>28</v>
      </c>
      <c r="O56" t="s">
        <v>29</v>
      </c>
      <c r="P56" t="s">
        <v>86</v>
      </c>
      <c r="Q56">
        <v>2.7</v>
      </c>
      <c r="R56">
        <v>1</v>
      </c>
    </row>
    <row r="57" spans="1:18" x14ac:dyDescent="0.3">
      <c r="A57" t="s">
        <v>221</v>
      </c>
      <c r="B57" t="s">
        <v>19</v>
      </c>
      <c r="C57" t="s">
        <v>32</v>
      </c>
      <c r="D57" t="s">
        <v>21</v>
      </c>
      <c r="E57" t="s">
        <v>222</v>
      </c>
      <c r="F57">
        <v>2016</v>
      </c>
      <c r="G57" t="s">
        <v>134</v>
      </c>
      <c r="H57" t="s">
        <v>24</v>
      </c>
      <c r="I57" t="s">
        <v>44</v>
      </c>
      <c r="J57">
        <v>10.199999999999999</v>
      </c>
      <c r="K57">
        <v>9775</v>
      </c>
      <c r="L57" t="s">
        <v>101</v>
      </c>
      <c r="M57" t="s">
        <v>27</v>
      </c>
      <c r="N57" t="s">
        <v>28</v>
      </c>
      <c r="O57" t="s">
        <v>29</v>
      </c>
      <c r="P57" t="s">
        <v>74</v>
      </c>
      <c r="Q57">
        <v>3.2</v>
      </c>
      <c r="R57">
        <v>10</v>
      </c>
    </row>
    <row r="58" spans="1:18" x14ac:dyDescent="0.3">
      <c r="A58" t="s">
        <v>223</v>
      </c>
      <c r="B58" t="s">
        <v>70</v>
      </c>
      <c r="C58" t="s">
        <v>64</v>
      </c>
      <c r="D58" t="s">
        <v>41</v>
      </c>
      <c r="E58" t="s">
        <v>224</v>
      </c>
      <c r="F58">
        <v>2021</v>
      </c>
      <c r="G58" t="s">
        <v>225</v>
      </c>
      <c r="H58" t="s">
        <v>24</v>
      </c>
      <c r="I58" t="s">
        <v>85</v>
      </c>
      <c r="J58">
        <v>2.5</v>
      </c>
      <c r="K58">
        <v>5782</v>
      </c>
      <c r="L58" t="s">
        <v>36</v>
      </c>
      <c r="M58" t="s">
        <v>27</v>
      </c>
      <c r="N58" t="s">
        <v>28</v>
      </c>
      <c r="O58" t="s">
        <v>46</v>
      </c>
      <c r="P58" t="s">
        <v>38</v>
      </c>
      <c r="Q58">
        <v>7</v>
      </c>
      <c r="R58">
        <v>5</v>
      </c>
    </row>
    <row r="59" spans="1:18" x14ac:dyDescent="0.3">
      <c r="A59" t="s">
        <v>226</v>
      </c>
      <c r="B59" t="s">
        <v>49</v>
      </c>
      <c r="C59" t="s">
        <v>20</v>
      </c>
      <c r="D59" t="s">
        <v>41</v>
      </c>
      <c r="E59" t="s">
        <v>227</v>
      </c>
      <c r="F59">
        <v>2016</v>
      </c>
      <c r="G59" t="s">
        <v>142</v>
      </c>
      <c r="H59" t="s">
        <v>96</v>
      </c>
      <c r="I59" t="s">
        <v>44</v>
      </c>
      <c r="J59">
        <v>10.3</v>
      </c>
      <c r="K59">
        <v>28774</v>
      </c>
      <c r="L59" t="s">
        <v>45</v>
      </c>
      <c r="M59" t="s">
        <v>54</v>
      </c>
      <c r="N59" t="s">
        <v>62</v>
      </c>
      <c r="O59" t="s">
        <v>118</v>
      </c>
      <c r="P59" t="s">
        <v>47</v>
      </c>
      <c r="Q59">
        <v>9.1</v>
      </c>
      <c r="R59">
        <v>10</v>
      </c>
    </row>
    <row r="60" spans="1:18" x14ac:dyDescent="0.3">
      <c r="A60" t="s">
        <v>228</v>
      </c>
      <c r="B60" t="s">
        <v>58</v>
      </c>
      <c r="C60" t="s">
        <v>20</v>
      </c>
      <c r="D60" t="s">
        <v>93</v>
      </c>
      <c r="E60" t="s">
        <v>229</v>
      </c>
      <c r="F60">
        <v>2018</v>
      </c>
      <c r="G60" t="s">
        <v>230</v>
      </c>
      <c r="H60" t="s">
        <v>35</v>
      </c>
      <c r="I60" t="s">
        <v>100</v>
      </c>
      <c r="J60">
        <v>17.3</v>
      </c>
      <c r="K60">
        <v>8003</v>
      </c>
      <c r="L60" t="s">
        <v>73</v>
      </c>
      <c r="M60" t="s">
        <v>54</v>
      </c>
      <c r="N60" t="s">
        <v>55</v>
      </c>
      <c r="O60" t="s">
        <v>46</v>
      </c>
      <c r="P60" t="s">
        <v>30</v>
      </c>
      <c r="Q60">
        <v>2</v>
      </c>
      <c r="R60">
        <v>8</v>
      </c>
    </row>
    <row r="61" spans="1:18" x14ac:dyDescent="0.3">
      <c r="A61" t="s">
        <v>231</v>
      </c>
      <c r="B61" t="s">
        <v>19</v>
      </c>
      <c r="C61" t="s">
        <v>64</v>
      </c>
      <c r="D61" t="s">
        <v>41</v>
      </c>
      <c r="E61" t="s">
        <v>232</v>
      </c>
      <c r="F61">
        <v>2016</v>
      </c>
      <c r="G61" t="s">
        <v>233</v>
      </c>
      <c r="H61" t="s">
        <v>24</v>
      </c>
      <c r="I61" t="s">
        <v>25</v>
      </c>
      <c r="J61">
        <v>10.9</v>
      </c>
      <c r="K61">
        <v>20587</v>
      </c>
      <c r="L61" t="s">
        <v>26</v>
      </c>
      <c r="M61" t="s">
        <v>54</v>
      </c>
      <c r="N61" t="s">
        <v>55</v>
      </c>
      <c r="O61" t="s">
        <v>46</v>
      </c>
      <c r="P61" t="s">
        <v>86</v>
      </c>
      <c r="Q61">
        <v>7.2</v>
      </c>
      <c r="R61">
        <v>10</v>
      </c>
    </row>
    <row r="62" spans="1:18" x14ac:dyDescent="0.3">
      <c r="A62" t="s">
        <v>234</v>
      </c>
      <c r="B62" t="s">
        <v>40</v>
      </c>
      <c r="C62" t="s">
        <v>20</v>
      </c>
      <c r="D62" t="s">
        <v>50</v>
      </c>
      <c r="E62" t="s">
        <v>235</v>
      </c>
      <c r="F62">
        <v>2021</v>
      </c>
      <c r="G62" t="s">
        <v>236</v>
      </c>
      <c r="H62" t="s">
        <v>35</v>
      </c>
      <c r="I62" t="s">
        <v>100</v>
      </c>
      <c r="J62">
        <v>12.1</v>
      </c>
      <c r="K62">
        <v>14464</v>
      </c>
      <c r="L62" t="s">
        <v>36</v>
      </c>
      <c r="M62" t="s">
        <v>80</v>
      </c>
      <c r="N62" t="s">
        <v>62</v>
      </c>
      <c r="O62" t="s">
        <v>29</v>
      </c>
      <c r="P62" t="s">
        <v>38</v>
      </c>
      <c r="Q62">
        <v>1.9</v>
      </c>
      <c r="R62">
        <v>5</v>
      </c>
    </row>
    <row r="63" spans="1:18" x14ac:dyDescent="0.3">
      <c r="A63" t="s">
        <v>237</v>
      </c>
      <c r="B63" t="s">
        <v>19</v>
      </c>
      <c r="C63" t="s">
        <v>112</v>
      </c>
      <c r="D63" t="s">
        <v>21</v>
      </c>
      <c r="E63" t="s">
        <v>238</v>
      </c>
      <c r="F63">
        <v>2018</v>
      </c>
      <c r="G63" t="s">
        <v>239</v>
      </c>
      <c r="H63" t="s">
        <v>35</v>
      </c>
      <c r="I63" t="s">
        <v>100</v>
      </c>
      <c r="J63">
        <v>13.6</v>
      </c>
      <c r="K63">
        <v>38803</v>
      </c>
      <c r="L63" t="s">
        <v>68</v>
      </c>
      <c r="M63" t="s">
        <v>27</v>
      </c>
      <c r="N63" t="s">
        <v>28</v>
      </c>
      <c r="O63" t="s">
        <v>118</v>
      </c>
      <c r="P63" t="s">
        <v>38</v>
      </c>
      <c r="Q63">
        <v>3.4</v>
      </c>
      <c r="R63">
        <v>8</v>
      </c>
    </row>
    <row r="64" spans="1:18" x14ac:dyDescent="0.3">
      <c r="A64" t="s">
        <v>240</v>
      </c>
      <c r="B64" t="s">
        <v>49</v>
      </c>
      <c r="C64" t="s">
        <v>32</v>
      </c>
      <c r="D64" t="s">
        <v>82</v>
      </c>
      <c r="E64" t="s">
        <v>241</v>
      </c>
      <c r="F64">
        <v>2020</v>
      </c>
      <c r="G64" t="s">
        <v>67</v>
      </c>
      <c r="H64" t="s">
        <v>24</v>
      </c>
      <c r="I64" t="s">
        <v>100</v>
      </c>
      <c r="J64">
        <v>1.2</v>
      </c>
      <c r="K64">
        <v>29813</v>
      </c>
      <c r="L64" t="s">
        <v>101</v>
      </c>
      <c r="M64" t="s">
        <v>37</v>
      </c>
      <c r="N64" t="s">
        <v>62</v>
      </c>
      <c r="O64" t="s">
        <v>118</v>
      </c>
      <c r="P64" t="s">
        <v>30</v>
      </c>
      <c r="Q64">
        <v>1.4</v>
      </c>
      <c r="R64">
        <v>6</v>
      </c>
    </row>
    <row r="65" spans="1:18" x14ac:dyDescent="0.3">
      <c r="A65" t="s">
        <v>242</v>
      </c>
      <c r="B65" t="s">
        <v>49</v>
      </c>
      <c r="C65" t="s">
        <v>112</v>
      </c>
      <c r="D65" t="s">
        <v>50</v>
      </c>
      <c r="E65" t="s">
        <v>243</v>
      </c>
      <c r="F65">
        <v>2024</v>
      </c>
      <c r="G65" t="s">
        <v>244</v>
      </c>
      <c r="H65" t="s">
        <v>35</v>
      </c>
      <c r="I65" t="s">
        <v>53</v>
      </c>
      <c r="J65">
        <v>10.6</v>
      </c>
      <c r="K65">
        <v>12981</v>
      </c>
      <c r="L65" t="s">
        <v>36</v>
      </c>
      <c r="M65" t="s">
        <v>27</v>
      </c>
      <c r="N65" t="s">
        <v>55</v>
      </c>
      <c r="O65" t="s">
        <v>29</v>
      </c>
      <c r="P65" t="s">
        <v>74</v>
      </c>
      <c r="Q65">
        <v>4.5999999999999996</v>
      </c>
      <c r="R65">
        <v>2</v>
      </c>
    </row>
    <row r="66" spans="1:18" x14ac:dyDescent="0.3">
      <c r="A66" t="s">
        <v>245</v>
      </c>
      <c r="B66" t="s">
        <v>58</v>
      </c>
      <c r="C66" t="s">
        <v>20</v>
      </c>
      <c r="D66" t="s">
        <v>82</v>
      </c>
      <c r="E66" t="s">
        <v>246</v>
      </c>
      <c r="F66">
        <v>2021</v>
      </c>
      <c r="G66" t="s">
        <v>247</v>
      </c>
      <c r="H66" t="s">
        <v>24</v>
      </c>
      <c r="I66" t="s">
        <v>25</v>
      </c>
      <c r="J66">
        <v>2.2999999999999998</v>
      </c>
      <c r="K66">
        <v>12039</v>
      </c>
      <c r="L66" t="s">
        <v>68</v>
      </c>
      <c r="M66" t="s">
        <v>27</v>
      </c>
      <c r="N66" t="s">
        <v>62</v>
      </c>
      <c r="O66" t="s">
        <v>118</v>
      </c>
      <c r="P66" t="s">
        <v>86</v>
      </c>
      <c r="Q66">
        <v>6.8</v>
      </c>
      <c r="R66">
        <v>5</v>
      </c>
    </row>
    <row r="67" spans="1:18" x14ac:dyDescent="0.3">
      <c r="A67" t="s">
        <v>248</v>
      </c>
      <c r="B67" t="s">
        <v>49</v>
      </c>
      <c r="C67" t="s">
        <v>112</v>
      </c>
      <c r="D67" t="s">
        <v>82</v>
      </c>
      <c r="E67" t="s">
        <v>249</v>
      </c>
      <c r="F67">
        <v>2020</v>
      </c>
      <c r="G67" t="s">
        <v>250</v>
      </c>
      <c r="H67" t="s">
        <v>24</v>
      </c>
      <c r="I67" t="s">
        <v>53</v>
      </c>
      <c r="J67">
        <v>6.2</v>
      </c>
      <c r="K67">
        <v>27988</v>
      </c>
      <c r="L67" t="s">
        <v>45</v>
      </c>
      <c r="M67" t="s">
        <v>80</v>
      </c>
      <c r="N67" t="s">
        <v>62</v>
      </c>
      <c r="O67" t="s">
        <v>46</v>
      </c>
      <c r="P67" t="s">
        <v>47</v>
      </c>
      <c r="Q67">
        <v>4.4000000000000004</v>
      </c>
      <c r="R67">
        <v>6</v>
      </c>
    </row>
    <row r="68" spans="1:18" x14ac:dyDescent="0.3">
      <c r="A68" t="s">
        <v>251</v>
      </c>
      <c r="B68" t="s">
        <v>70</v>
      </c>
      <c r="C68" t="s">
        <v>32</v>
      </c>
      <c r="D68" t="s">
        <v>50</v>
      </c>
      <c r="E68" t="s">
        <v>252</v>
      </c>
      <c r="F68">
        <v>2017</v>
      </c>
      <c r="G68" t="s">
        <v>253</v>
      </c>
      <c r="H68" t="s">
        <v>24</v>
      </c>
      <c r="I68" t="s">
        <v>85</v>
      </c>
      <c r="J68">
        <v>13.8</v>
      </c>
      <c r="K68">
        <v>14840</v>
      </c>
      <c r="L68" t="s">
        <v>68</v>
      </c>
      <c r="M68" t="s">
        <v>54</v>
      </c>
      <c r="N68" t="s">
        <v>55</v>
      </c>
      <c r="O68" t="s">
        <v>118</v>
      </c>
      <c r="P68" t="s">
        <v>38</v>
      </c>
      <c r="Q68">
        <v>5.0999999999999996</v>
      </c>
      <c r="R68">
        <v>9</v>
      </c>
    </row>
    <row r="69" spans="1:18" x14ac:dyDescent="0.3">
      <c r="A69" t="s">
        <v>254</v>
      </c>
      <c r="B69" t="s">
        <v>49</v>
      </c>
      <c r="C69" t="s">
        <v>64</v>
      </c>
      <c r="D69" t="s">
        <v>65</v>
      </c>
      <c r="E69" t="s">
        <v>255</v>
      </c>
      <c r="F69">
        <v>2014</v>
      </c>
      <c r="G69" t="s">
        <v>256</v>
      </c>
      <c r="H69" t="s">
        <v>24</v>
      </c>
      <c r="I69" t="s">
        <v>100</v>
      </c>
      <c r="J69">
        <v>0.7</v>
      </c>
      <c r="K69">
        <v>28238</v>
      </c>
      <c r="L69" t="s">
        <v>26</v>
      </c>
      <c r="M69" t="s">
        <v>54</v>
      </c>
      <c r="N69" t="s">
        <v>28</v>
      </c>
      <c r="O69" t="s">
        <v>118</v>
      </c>
      <c r="P69" t="s">
        <v>30</v>
      </c>
      <c r="Q69">
        <v>6.7</v>
      </c>
      <c r="R69">
        <v>12</v>
      </c>
    </row>
    <row r="70" spans="1:18" x14ac:dyDescent="0.3">
      <c r="A70" t="s">
        <v>257</v>
      </c>
      <c r="B70" t="s">
        <v>70</v>
      </c>
      <c r="C70" t="s">
        <v>32</v>
      </c>
      <c r="D70" t="s">
        <v>65</v>
      </c>
      <c r="E70" t="s">
        <v>258</v>
      </c>
      <c r="F70">
        <v>2016</v>
      </c>
      <c r="G70" t="s">
        <v>259</v>
      </c>
      <c r="H70" t="s">
        <v>24</v>
      </c>
      <c r="I70" t="s">
        <v>85</v>
      </c>
      <c r="J70">
        <v>17.7</v>
      </c>
      <c r="K70">
        <v>17473</v>
      </c>
      <c r="L70" t="s">
        <v>36</v>
      </c>
      <c r="M70" t="s">
        <v>54</v>
      </c>
      <c r="N70" t="s">
        <v>55</v>
      </c>
      <c r="O70" t="s">
        <v>29</v>
      </c>
      <c r="P70" t="s">
        <v>74</v>
      </c>
      <c r="Q70">
        <v>5.3</v>
      </c>
      <c r="R70">
        <v>10</v>
      </c>
    </row>
    <row r="71" spans="1:18" x14ac:dyDescent="0.3">
      <c r="A71" t="s">
        <v>260</v>
      </c>
      <c r="B71" t="s">
        <v>70</v>
      </c>
      <c r="C71" t="s">
        <v>76</v>
      </c>
      <c r="D71" t="s">
        <v>77</v>
      </c>
      <c r="E71" t="s">
        <v>261</v>
      </c>
      <c r="F71">
        <v>2016</v>
      </c>
      <c r="G71" t="s">
        <v>107</v>
      </c>
      <c r="H71" t="s">
        <v>96</v>
      </c>
      <c r="I71" t="s">
        <v>100</v>
      </c>
      <c r="J71">
        <v>5.2</v>
      </c>
      <c r="K71">
        <v>1668</v>
      </c>
      <c r="L71" t="s">
        <v>68</v>
      </c>
      <c r="M71" t="s">
        <v>37</v>
      </c>
      <c r="N71" t="s">
        <v>62</v>
      </c>
      <c r="O71" t="s">
        <v>46</v>
      </c>
      <c r="P71" t="s">
        <v>38</v>
      </c>
      <c r="Q71">
        <v>5.2</v>
      </c>
      <c r="R71">
        <v>10</v>
      </c>
    </row>
    <row r="72" spans="1:18" x14ac:dyDescent="0.3">
      <c r="A72" t="s">
        <v>262</v>
      </c>
      <c r="B72" t="s">
        <v>49</v>
      </c>
      <c r="C72" t="s">
        <v>76</v>
      </c>
      <c r="D72" t="s">
        <v>77</v>
      </c>
      <c r="E72" t="s">
        <v>263</v>
      </c>
      <c r="F72">
        <v>2016</v>
      </c>
      <c r="G72" t="s">
        <v>264</v>
      </c>
      <c r="H72" t="s">
        <v>24</v>
      </c>
      <c r="I72" t="s">
        <v>100</v>
      </c>
      <c r="J72">
        <v>7.1</v>
      </c>
      <c r="K72">
        <v>22588</v>
      </c>
      <c r="L72" t="s">
        <v>73</v>
      </c>
      <c r="M72" t="s">
        <v>54</v>
      </c>
      <c r="N72" t="s">
        <v>62</v>
      </c>
      <c r="O72" t="s">
        <v>118</v>
      </c>
      <c r="P72" t="s">
        <v>56</v>
      </c>
      <c r="Q72">
        <v>8.6</v>
      </c>
      <c r="R72">
        <v>10</v>
      </c>
    </row>
    <row r="73" spans="1:18" x14ac:dyDescent="0.3">
      <c r="A73" t="s">
        <v>265</v>
      </c>
      <c r="B73" t="s">
        <v>70</v>
      </c>
      <c r="C73" t="s">
        <v>76</v>
      </c>
      <c r="D73" t="s">
        <v>65</v>
      </c>
      <c r="E73" t="s">
        <v>266</v>
      </c>
      <c r="F73">
        <v>2020</v>
      </c>
      <c r="G73" t="s">
        <v>139</v>
      </c>
      <c r="H73" t="s">
        <v>96</v>
      </c>
      <c r="I73" t="s">
        <v>85</v>
      </c>
      <c r="J73">
        <v>7.3</v>
      </c>
      <c r="K73">
        <v>44995</v>
      </c>
      <c r="L73" t="s">
        <v>101</v>
      </c>
      <c r="M73" t="s">
        <v>54</v>
      </c>
      <c r="N73" t="s">
        <v>55</v>
      </c>
      <c r="O73" t="s">
        <v>29</v>
      </c>
      <c r="P73" t="s">
        <v>56</v>
      </c>
      <c r="Q73">
        <v>5.3</v>
      </c>
      <c r="R73">
        <v>6</v>
      </c>
    </row>
    <row r="74" spans="1:18" x14ac:dyDescent="0.3">
      <c r="A74" t="s">
        <v>267</v>
      </c>
      <c r="B74" t="s">
        <v>19</v>
      </c>
      <c r="C74" t="s">
        <v>76</v>
      </c>
      <c r="D74" t="s">
        <v>41</v>
      </c>
      <c r="E74" t="s">
        <v>268</v>
      </c>
      <c r="F74">
        <v>2023</v>
      </c>
      <c r="G74" t="s">
        <v>269</v>
      </c>
      <c r="H74" t="s">
        <v>35</v>
      </c>
      <c r="I74" t="s">
        <v>85</v>
      </c>
      <c r="J74">
        <v>0.8</v>
      </c>
      <c r="K74">
        <v>10947</v>
      </c>
      <c r="L74" t="s">
        <v>36</v>
      </c>
      <c r="M74" t="s">
        <v>54</v>
      </c>
      <c r="N74" t="s">
        <v>28</v>
      </c>
      <c r="O74" t="s">
        <v>118</v>
      </c>
      <c r="P74" t="s">
        <v>86</v>
      </c>
      <c r="Q74">
        <v>3.7</v>
      </c>
      <c r="R74">
        <v>3</v>
      </c>
    </row>
    <row r="75" spans="1:18" x14ac:dyDescent="0.3">
      <c r="A75" t="s">
        <v>270</v>
      </c>
      <c r="B75" t="s">
        <v>19</v>
      </c>
      <c r="C75" t="s">
        <v>20</v>
      </c>
      <c r="D75" t="s">
        <v>50</v>
      </c>
      <c r="E75" t="s">
        <v>271</v>
      </c>
      <c r="F75">
        <v>2025</v>
      </c>
      <c r="G75" t="s">
        <v>272</v>
      </c>
      <c r="H75" t="s">
        <v>35</v>
      </c>
      <c r="I75" t="s">
        <v>100</v>
      </c>
      <c r="J75">
        <v>7.2</v>
      </c>
      <c r="K75">
        <v>22252</v>
      </c>
      <c r="L75" t="s">
        <v>101</v>
      </c>
      <c r="M75" t="s">
        <v>27</v>
      </c>
      <c r="N75" t="s">
        <v>62</v>
      </c>
      <c r="O75" t="s">
        <v>29</v>
      </c>
      <c r="P75" t="s">
        <v>74</v>
      </c>
      <c r="Q75">
        <v>1.1000000000000001</v>
      </c>
      <c r="R75">
        <v>1</v>
      </c>
    </row>
    <row r="76" spans="1:18" x14ac:dyDescent="0.3">
      <c r="A76" t="s">
        <v>273</v>
      </c>
      <c r="B76" t="s">
        <v>70</v>
      </c>
      <c r="C76" t="s">
        <v>64</v>
      </c>
      <c r="D76" t="s">
        <v>65</v>
      </c>
      <c r="E76" t="s">
        <v>274</v>
      </c>
      <c r="F76">
        <v>2024</v>
      </c>
      <c r="G76" t="s">
        <v>275</v>
      </c>
      <c r="H76" t="s">
        <v>24</v>
      </c>
      <c r="I76" t="s">
        <v>44</v>
      </c>
      <c r="J76">
        <v>13.8</v>
      </c>
      <c r="K76">
        <v>8086</v>
      </c>
      <c r="L76" t="s">
        <v>36</v>
      </c>
      <c r="M76" t="s">
        <v>54</v>
      </c>
      <c r="N76" t="s">
        <v>62</v>
      </c>
      <c r="O76" t="s">
        <v>118</v>
      </c>
      <c r="P76" t="s">
        <v>30</v>
      </c>
      <c r="Q76">
        <v>0.9</v>
      </c>
      <c r="R76">
        <v>2</v>
      </c>
    </row>
    <row r="77" spans="1:18" x14ac:dyDescent="0.3">
      <c r="A77" t="s">
        <v>276</v>
      </c>
      <c r="B77" t="s">
        <v>70</v>
      </c>
      <c r="C77" t="s">
        <v>20</v>
      </c>
      <c r="D77" t="s">
        <v>82</v>
      </c>
      <c r="E77" t="s">
        <v>277</v>
      </c>
      <c r="F77">
        <v>2014</v>
      </c>
      <c r="G77" t="s">
        <v>278</v>
      </c>
      <c r="H77" t="s">
        <v>24</v>
      </c>
      <c r="I77" t="s">
        <v>100</v>
      </c>
      <c r="J77">
        <v>7.7</v>
      </c>
      <c r="K77">
        <v>13300</v>
      </c>
      <c r="L77" t="s">
        <v>73</v>
      </c>
      <c r="M77" t="s">
        <v>54</v>
      </c>
      <c r="N77" t="s">
        <v>28</v>
      </c>
      <c r="O77" t="s">
        <v>46</v>
      </c>
      <c r="P77" t="s">
        <v>47</v>
      </c>
      <c r="Q77">
        <v>6.4</v>
      </c>
      <c r="R77">
        <v>12</v>
      </c>
    </row>
    <row r="78" spans="1:18" x14ac:dyDescent="0.3">
      <c r="A78" t="s">
        <v>279</v>
      </c>
      <c r="B78" t="s">
        <v>49</v>
      </c>
      <c r="C78" t="s">
        <v>64</v>
      </c>
      <c r="D78" t="s">
        <v>21</v>
      </c>
      <c r="E78" t="s">
        <v>280</v>
      </c>
      <c r="F78">
        <v>2017</v>
      </c>
      <c r="G78" t="s">
        <v>259</v>
      </c>
      <c r="H78" t="s">
        <v>24</v>
      </c>
      <c r="I78" t="s">
        <v>53</v>
      </c>
      <c r="J78">
        <v>8.5</v>
      </c>
      <c r="K78">
        <v>2115</v>
      </c>
      <c r="L78" t="s">
        <v>36</v>
      </c>
      <c r="M78" t="s">
        <v>37</v>
      </c>
      <c r="N78" t="s">
        <v>62</v>
      </c>
      <c r="O78" t="s">
        <v>46</v>
      </c>
      <c r="P78" t="s">
        <v>56</v>
      </c>
      <c r="Q78">
        <v>1.2</v>
      </c>
      <c r="R78">
        <v>9</v>
      </c>
    </row>
    <row r="79" spans="1:18" x14ac:dyDescent="0.3">
      <c r="A79" t="s">
        <v>281</v>
      </c>
      <c r="B79" t="s">
        <v>70</v>
      </c>
      <c r="C79" t="s">
        <v>76</v>
      </c>
      <c r="D79" t="s">
        <v>65</v>
      </c>
      <c r="E79" t="s">
        <v>282</v>
      </c>
      <c r="F79">
        <v>2019</v>
      </c>
      <c r="G79" t="s">
        <v>230</v>
      </c>
      <c r="H79" t="s">
        <v>24</v>
      </c>
      <c r="I79" t="s">
        <v>53</v>
      </c>
      <c r="J79">
        <v>4</v>
      </c>
      <c r="K79">
        <v>26711</v>
      </c>
      <c r="L79" t="s">
        <v>36</v>
      </c>
      <c r="M79" t="s">
        <v>80</v>
      </c>
      <c r="N79" t="s">
        <v>28</v>
      </c>
      <c r="O79" t="s">
        <v>118</v>
      </c>
      <c r="P79" t="s">
        <v>74</v>
      </c>
      <c r="Q79">
        <v>3.9</v>
      </c>
      <c r="R79">
        <v>7</v>
      </c>
    </row>
    <row r="80" spans="1:18" x14ac:dyDescent="0.3">
      <c r="A80" t="s">
        <v>283</v>
      </c>
      <c r="B80" t="s">
        <v>70</v>
      </c>
      <c r="C80" t="s">
        <v>112</v>
      </c>
      <c r="D80" t="s">
        <v>50</v>
      </c>
      <c r="E80" t="s">
        <v>284</v>
      </c>
      <c r="F80">
        <v>2018</v>
      </c>
      <c r="G80" t="s">
        <v>212</v>
      </c>
      <c r="H80" t="s">
        <v>35</v>
      </c>
      <c r="I80" t="s">
        <v>53</v>
      </c>
      <c r="J80">
        <v>0.6</v>
      </c>
      <c r="K80">
        <v>4714</v>
      </c>
      <c r="L80" t="s">
        <v>45</v>
      </c>
      <c r="M80" t="s">
        <v>27</v>
      </c>
      <c r="N80" t="s">
        <v>55</v>
      </c>
      <c r="O80" t="s">
        <v>29</v>
      </c>
      <c r="P80" t="s">
        <v>74</v>
      </c>
      <c r="Q80">
        <v>8.1</v>
      </c>
      <c r="R80">
        <v>8</v>
      </c>
    </row>
    <row r="81" spans="1:18" x14ac:dyDescent="0.3">
      <c r="A81" t="s">
        <v>285</v>
      </c>
      <c r="B81" t="s">
        <v>40</v>
      </c>
      <c r="C81" t="s">
        <v>32</v>
      </c>
      <c r="D81" t="s">
        <v>77</v>
      </c>
      <c r="E81" t="s">
        <v>286</v>
      </c>
      <c r="F81">
        <v>2017</v>
      </c>
      <c r="G81" t="s">
        <v>287</v>
      </c>
      <c r="H81" t="s">
        <v>35</v>
      </c>
      <c r="I81" t="s">
        <v>25</v>
      </c>
      <c r="J81">
        <v>13.9</v>
      </c>
      <c r="K81">
        <v>10463</v>
      </c>
      <c r="L81" t="s">
        <v>101</v>
      </c>
      <c r="M81" t="s">
        <v>80</v>
      </c>
      <c r="N81" t="s">
        <v>62</v>
      </c>
      <c r="O81" t="s">
        <v>46</v>
      </c>
      <c r="P81" t="s">
        <v>30</v>
      </c>
      <c r="Q81">
        <v>3.4</v>
      </c>
      <c r="R81">
        <v>9</v>
      </c>
    </row>
    <row r="82" spans="1:18" x14ac:dyDescent="0.3">
      <c r="A82" t="s">
        <v>288</v>
      </c>
      <c r="B82" t="s">
        <v>49</v>
      </c>
      <c r="C82" t="s">
        <v>20</v>
      </c>
      <c r="D82" t="s">
        <v>65</v>
      </c>
      <c r="E82" t="s">
        <v>289</v>
      </c>
      <c r="F82">
        <v>2021</v>
      </c>
      <c r="G82" t="s">
        <v>290</v>
      </c>
      <c r="H82" t="s">
        <v>24</v>
      </c>
      <c r="I82" t="s">
        <v>53</v>
      </c>
      <c r="J82">
        <v>6.2</v>
      </c>
      <c r="K82">
        <v>28730</v>
      </c>
      <c r="L82" t="s">
        <v>73</v>
      </c>
      <c r="M82" t="s">
        <v>54</v>
      </c>
      <c r="N82" t="s">
        <v>28</v>
      </c>
      <c r="O82" t="s">
        <v>46</v>
      </c>
      <c r="P82" t="s">
        <v>86</v>
      </c>
      <c r="Q82">
        <v>5.5</v>
      </c>
      <c r="R82">
        <v>5</v>
      </c>
    </row>
    <row r="83" spans="1:18" x14ac:dyDescent="0.3">
      <c r="A83" t="s">
        <v>291</v>
      </c>
      <c r="B83" t="s">
        <v>70</v>
      </c>
      <c r="C83" t="s">
        <v>76</v>
      </c>
      <c r="D83" t="s">
        <v>50</v>
      </c>
      <c r="E83" t="s">
        <v>292</v>
      </c>
      <c r="F83">
        <v>2018</v>
      </c>
      <c r="G83" t="s">
        <v>121</v>
      </c>
      <c r="H83" t="s">
        <v>24</v>
      </c>
      <c r="I83" t="s">
        <v>53</v>
      </c>
      <c r="J83">
        <v>14.6</v>
      </c>
      <c r="K83">
        <v>32192</v>
      </c>
      <c r="L83" t="s">
        <v>26</v>
      </c>
      <c r="M83" t="s">
        <v>54</v>
      </c>
      <c r="N83" t="s">
        <v>28</v>
      </c>
      <c r="O83" t="s">
        <v>46</v>
      </c>
      <c r="P83" t="s">
        <v>38</v>
      </c>
      <c r="Q83">
        <v>6.9</v>
      </c>
      <c r="R83">
        <v>8</v>
      </c>
    </row>
    <row r="84" spans="1:18" x14ac:dyDescent="0.3">
      <c r="A84" t="s">
        <v>293</v>
      </c>
      <c r="B84" t="s">
        <v>49</v>
      </c>
      <c r="C84" t="s">
        <v>20</v>
      </c>
      <c r="D84" t="s">
        <v>41</v>
      </c>
      <c r="E84" t="s">
        <v>294</v>
      </c>
      <c r="F84">
        <v>2020</v>
      </c>
      <c r="G84" t="s">
        <v>295</v>
      </c>
      <c r="H84" t="s">
        <v>35</v>
      </c>
      <c r="I84" t="s">
        <v>44</v>
      </c>
      <c r="J84">
        <v>5.0999999999999996</v>
      </c>
      <c r="K84">
        <v>9599</v>
      </c>
      <c r="L84" t="s">
        <v>36</v>
      </c>
      <c r="M84" t="s">
        <v>37</v>
      </c>
      <c r="N84" t="s">
        <v>62</v>
      </c>
      <c r="O84" t="s">
        <v>46</v>
      </c>
      <c r="P84" t="s">
        <v>38</v>
      </c>
      <c r="Q84">
        <v>3</v>
      </c>
      <c r="R84">
        <v>6</v>
      </c>
    </row>
    <row r="85" spans="1:18" x14ac:dyDescent="0.3">
      <c r="A85" t="s">
        <v>296</v>
      </c>
      <c r="B85" t="s">
        <v>70</v>
      </c>
      <c r="C85" t="s">
        <v>112</v>
      </c>
      <c r="D85" t="s">
        <v>65</v>
      </c>
      <c r="E85" t="s">
        <v>297</v>
      </c>
      <c r="F85">
        <v>2020</v>
      </c>
      <c r="G85" t="s">
        <v>298</v>
      </c>
      <c r="H85" t="s">
        <v>24</v>
      </c>
      <c r="I85" t="s">
        <v>44</v>
      </c>
      <c r="J85">
        <v>11.3</v>
      </c>
      <c r="K85">
        <v>38292</v>
      </c>
      <c r="L85" t="s">
        <v>68</v>
      </c>
      <c r="M85" t="s">
        <v>54</v>
      </c>
      <c r="N85" t="s">
        <v>62</v>
      </c>
      <c r="O85" t="s">
        <v>29</v>
      </c>
      <c r="P85" t="s">
        <v>38</v>
      </c>
      <c r="Q85">
        <v>8.3000000000000007</v>
      </c>
      <c r="R85">
        <v>6</v>
      </c>
    </row>
    <row r="86" spans="1:18" x14ac:dyDescent="0.3">
      <c r="A86" t="s">
        <v>299</v>
      </c>
      <c r="B86" t="s">
        <v>58</v>
      </c>
      <c r="C86" t="s">
        <v>112</v>
      </c>
      <c r="D86" t="s">
        <v>21</v>
      </c>
      <c r="E86" t="s">
        <v>300</v>
      </c>
      <c r="F86">
        <v>2025</v>
      </c>
      <c r="G86" t="s">
        <v>134</v>
      </c>
      <c r="H86" t="s">
        <v>24</v>
      </c>
      <c r="I86" t="s">
        <v>44</v>
      </c>
      <c r="J86">
        <v>5.8</v>
      </c>
      <c r="K86">
        <v>33784</v>
      </c>
      <c r="L86" t="s">
        <v>26</v>
      </c>
      <c r="M86" t="s">
        <v>80</v>
      </c>
      <c r="N86" t="s">
        <v>28</v>
      </c>
      <c r="O86" t="s">
        <v>46</v>
      </c>
      <c r="P86" t="s">
        <v>56</v>
      </c>
      <c r="Q86">
        <v>4.2</v>
      </c>
      <c r="R86">
        <v>1</v>
      </c>
    </row>
    <row r="87" spans="1:18" x14ac:dyDescent="0.3">
      <c r="A87" t="s">
        <v>301</v>
      </c>
      <c r="B87" t="s">
        <v>49</v>
      </c>
      <c r="C87" t="s">
        <v>76</v>
      </c>
      <c r="D87" t="s">
        <v>93</v>
      </c>
      <c r="E87" t="s">
        <v>302</v>
      </c>
      <c r="F87">
        <v>2019</v>
      </c>
      <c r="G87" t="s">
        <v>189</v>
      </c>
      <c r="H87" t="s">
        <v>35</v>
      </c>
      <c r="I87" t="s">
        <v>61</v>
      </c>
      <c r="J87">
        <v>16</v>
      </c>
      <c r="K87">
        <v>44420</v>
      </c>
      <c r="L87" t="s">
        <v>26</v>
      </c>
      <c r="M87" t="s">
        <v>27</v>
      </c>
      <c r="N87" t="s">
        <v>62</v>
      </c>
      <c r="O87" t="s">
        <v>118</v>
      </c>
      <c r="P87" t="s">
        <v>86</v>
      </c>
      <c r="Q87">
        <v>0.8</v>
      </c>
      <c r="R87">
        <v>7</v>
      </c>
    </row>
    <row r="88" spans="1:18" x14ac:dyDescent="0.3">
      <c r="A88" t="s">
        <v>303</v>
      </c>
      <c r="B88" t="s">
        <v>58</v>
      </c>
      <c r="C88" t="s">
        <v>76</v>
      </c>
      <c r="D88" t="s">
        <v>21</v>
      </c>
      <c r="E88" t="s">
        <v>304</v>
      </c>
      <c r="F88">
        <v>2019</v>
      </c>
      <c r="G88" t="s">
        <v>305</v>
      </c>
      <c r="H88" t="s">
        <v>96</v>
      </c>
      <c r="I88" t="s">
        <v>44</v>
      </c>
      <c r="J88">
        <v>17.7</v>
      </c>
      <c r="K88">
        <v>25573</v>
      </c>
      <c r="L88" t="s">
        <v>45</v>
      </c>
      <c r="M88" t="s">
        <v>37</v>
      </c>
      <c r="N88" t="s">
        <v>28</v>
      </c>
      <c r="O88" t="s">
        <v>118</v>
      </c>
      <c r="P88" t="s">
        <v>86</v>
      </c>
      <c r="Q88">
        <v>2.2999999999999998</v>
      </c>
      <c r="R88">
        <v>7</v>
      </c>
    </row>
    <row r="89" spans="1:18" x14ac:dyDescent="0.3">
      <c r="A89" t="s">
        <v>306</v>
      </c>
      <c r="B89" t="s">
        <v>58</v>
      </c>
      <c r="C89" t="s">
        <v>112</v>
      </c>
      <c r="D89" t="s">
        <v>65</v>
      </c>
      <c r="E89" t="s">
        <v>307</v>
      </c>
      <c r="F89">
        <v>2015</v>
      </c>
      <c r="G89" t="s">
        <v>298</v>
      </c>
      <c r="H89" t="s">
        <v>24</v>
      </c>
      <c r="I89" t="s">
        <v>25</v>
      </c>
      <c r="J89">
        <v>11</v>
      </c>
      <c r="K89">
        <v>2899</v>
      </c>
      <c r="L89" t="s">
        <v>26</v>
      </c>
      <c r="M89" t="s">
        <v>37</v>
      </c>
      <c r="N89" t="s">
        <v>28</v>
      </c>
      <c r="O89" t="s">
        <v>29</v>
      </c>
      <c r="P89" t="s">
        <v>74</v>
      </c>
      <c r="Q89">
        <v>2.4</v>
      </c>
      <c r="R89">
        <v>11</v>
      </c>
    </row>
    <row r="90" spans="1:18" x14ac:dyDescent="0.3">
      <c r="A90" t="s">
        <v>308</v>
      </c>
      <c r="B90" t="s">
        <v>49</v>
      </c>
      <c r="C90" t="s">
        <v>64</v>
      </c>
      <c r="D90" t="s">
        <v>50</v>
      </c>
      <c r="E90" t="s">
        <v>309</v>
      </c>
      <c r="F90">
        <v>2022</v>
      </c>
      <c r="G90" t="s">
        <v>310</v>
      </c>
      <c r="H90" t="s">
        <v>96</v>
      </c>
      <c r="I90" t="s">
        <v>53</v>
      </c>
      <c r="J90">
        <v>14.1</v>
      </c>
      <c r="K90">
        <v>40558</v>
      </c>
      <c r="L90" t="s">
        <v>26</v>
      </c>
      <c r="M90" t="s">
        <v>37</v>
      </c>
      <c r="N90" t="s">
        <v>28</v>
      </c>
      <c r="O90" t="s">
        <v>29</v>
      </c>
      <c r="P90" t="s">
        <v>74</v>
      </c>
      <c r="Q90">
        <v>2.9</v>
      </c>
      <c r="R90">
        <v>4</v>
      </c>
    </row>
    <row r="91" spans="1:18" x14ac:dyDescent="0.3">
      <c r="A91" t="s">
        <v>311</v>
      </c>
      <c r="B91" t="s">
        <v>19</v>
      </c>
      <c r="C91" t="s">
        <v>64</v>
      </c>
      <c r="D91" t="s">
        <v>41</v>
      </c>
      <c r="E91" t="s">
        <v>312</v>
      </c>
      <c r="F91">
        <v>2016</v>
      </c>
      <c r="G91" t="s">
        <v>23</v>
      </c>
      <c r="H91" t="s">
        <v>24</v>
      </c>
      <c r="I91" t="s">
        <v>61</v>
      </c>
      <c r="J91">
        <v>10.8</v>
      </c>
      <c r="K91">
        <v>2534</v>
      </c>
      <c r="L91" t="s">
        <v>73</v>
      </c>
      <c r="M91" t="s">
        <v>37</v>
      </c>
      <c r="N91" t="s">
        <v>28</v>
      </c>
      <c r="O91" t="s">
        <v>29</v>
      </c>
      <c r="P91" t="s">
        <v>38</v>
      </c>
      <c r="Q91">
        <v>4.5</v>
      </c>
      <c r="R91">
        <v>10</v>
      </c>
    </row>
    <row r="92" spans="1:18" x14ac:dyDescent="0.3">
      <c r="A92" t="s">
        <v>313</v>
      </c>
      <c r="B92" t="s">
        <v>19</v>
      </c>
      <c r="C92" t="s">
        <v>76</v>
      </c>
      <c r="D92" t="s">
        <v>82</v>
      </c>
      <c r="E92" t="s">
        <v>314</v>
      </c>
      <c r="F92">
        <v>2015</v>
      </c>
      <c r="G92" t="s">
        <v>315</v>
      </c>
      <c r="H92" t="s">
        <v>35</v>
      </c>
      <c r="I92" t="s">
        <v>100</v>
      </c>
      <c r="J92">
        <v>10.9</v>
      </c>
      <c r="K92">
        <v>31122</v>
      </c>
      <c r="L92" t="s">
        <v>45</v>
      </c>
      <c r="M92" t="s">
        <v>54</v>
      </c>
      <c r="N92" t="s">
        <v>62</v>
      </c>
      <c r="O92" t="s">
        <v>29</v>
      </c>
      <c r="P92" t="s">
        <v>38</v>
      </c>
      <c r="Q92">
        <v>7.9</v>
      </c>
      <c r="R92">
        <v>11</v>
      </c>
    </row>
    <row r="93" spans="1:18" x14ac:dyDescent="0.3">
      <c r="A93" t="s">
        <v>316</v>
      </c>
      <c r="B93" t="s">
        <v>70</v>
      </c>
      <c r="C93" t="s">
        <v>76</v>
      </c>
      <c r="D93" t="s">
        <v>65</v>
      </c>
      <c r="E93" t="s">
        <v>317</v>
      </c>
      <c r="F93">
        <v>2024</v>
      </c>
      <c r="G93" t="s">
        <v>318</v>
      </c>
      <c r="H93" t="s">
        <v>96</v>
      </c>
      <c r="I93" t="s">
        <v>44</v>
      </c>
      <c r="J93">
        <v>18</v>
      </c>
      <c r="K93">
        <v>27820</v>
      </c>
      <c r="L93" t="s">
        <v>36</v>
      </c>
      <c r="M93" t="s">
        <v>80</v>
      </c>
      <c r="N93" t="s">
        <v>55</v>
      </c>
      <c r="O93" t="s">
        <v>46</v>
      </c>
      <c r="P93" t="s">
        <v>47</v>
      </c>
      <c r="Q93">
        <v>1.2</v>
      </c>
      <c r="R93">
        <v>2</v>
      </c>
    </row>
    <row r="94" spans="1:18" x14ac:dyDescent="0.3">
      <c r="A94" t="s">
        <v>319</v>
      </c>
      <c r="B94" t="s">
        <v>49</v>
      </c>
      <c r="C94" t="s">
        <v>64</v>
      </c>
      <c r="D94" t="s">
        <v>41</v>
      </c>
      <c r="E94" t="s">
        <v>320</v>
      </c>
      <c r="F94">
        <v>2015</v>
      </c>
      <c r="G94" t="s">
        <v>321</v>
      </c>
      <c r="H94" t="s">
        <v>24</v>
      </c>
      <c r="I94" t="s">
        <v>100</v>
      </c>
      <c r="J94">
        <v>11.6</v>
      </c>
      <c r="K94">
        <v>37437</v>
      </c>
      <c r="L94" t="s">
        <v>101</v>
      </c>
      <c r="M94" t="s">
        <v>37</v>
      </c>
      <c r="N94" t="s">
        <v>55</v>
      </c>
      <c r="O94" t="s">
        <v>46</v>
      </c>
      <c r="P94" t="s">
        <v>74</v>
      </c>
      <c r="Q94">
        <v>3.3</v>
      </c>
      <c r="R94">
        <v>11</v>
      </c>
    </row>
    <row r="95" spans="1:18" x14ac:dyDescent="0.3">
      <c r="A95" t="s">
        <v>322</v>
      </c>
      <c r="B95" t="s">
        <v>58</v>
      </c>
      <c r="C95" t="s">
        <v>112</v>
      </c>
      <c r="D95" t="s">
        <v>50</v>
      </c>
      <c r="E95" t="s">
        <v>323</v>
      </c>
      <c r="F95">
        <v>2022</v>
      </c>
      <c r="G95" t="s">
        <v>34</v>
      </c>
      <c r="H95" t="s">
        <v>35</v>
      </c>
      <c r="I95" t="s">
        <v>25</v>
      </c>
      <c r="J95">
        <v>11.9</v>
      </c>
      <c r="K95">
        <v>37632</v>
      </c>
      <c r="L95" t="s">
        <v>101</v>
      </c>
      <c r="M95" t="s">
        <v>54</v>
      </c>
      <c r="N95" t="s">
        <v>55</v>
      </c>
      <c r="O95" t="s">
        <v>118</v>
      </c>
      <c r="P95" t="s">
        <v>56</v>
      </c>
      <c r="Q95">
        <v>4.4000000000000004</v>
      </c>
      <c r="R95">
        <v>4</v>
      </c>
    </row>
    <row r="96" spans="1:18" x14ac:dyDescent="0.3">
      <c r="A96" t="s">
        <v>324</v>
      </c>
      <c r="B96" t="s">
        <v>58</v>
      </c>
      <c r="C96" t="s">
        <v>112</v>
      </c>
      <c r="D96" t="s">
        <v>77</v>
      </c>
      <c r="E96" t="s">
        <v>325</v>
      </c>
      <c r="F96">
        <v>2021</v>
      </c>
      <c r="G96" t="s">
        <v>326</v>
      </c>
      <c r="H96" t="s">
        <v>24</v>
      </c>
      <c r="I96" t="s">
        <v>25</v>
      </c>
      <c r="J96">
        <v>5</v>
      </c>
      <c r="K96">
        <v>11503</v>
      </c>
      <c r="L96" t="s">
        <v>101</v>
      </c>
      <c r="M96" t="s">
        <v>27</v>
      </c>
      <c r="N96" t="s">
        <v>28</v>
      </c>
      <c r="O96" t="s">
        <v>29</v>
      </c>
      <c r="P96" t="s">
        <v>30</v>
      </c>
      <c r="Q96">
        <v>1.4</v>
      </c>
      <c r="R96">
        <v>5</v>
      </c>
    </row>
    <row r="97" spans="1:18" x14ac:dyDescent="0.3">
      <c r="A97" t="s">
        <v>327</v>
      </c>
      <c r="B97" t="s">
        <v>70</v>
      </c>
      <c r="C97" t="s">
        <v>64</v>
      </c>
      <c r="D97" t="s">
        <v>93</v>
      </c>
      <c r="E97" t="s">
        <v>328</v>
      </c>
      <c r="F97">
        <v>2015</v>
      </c>
      <c r="G97" t="s">
        <v>315</v>
      </c>
      <c r="H97" t="s">
        <v>24</v>
      </c>
      <c r="I97" t="s">
        <v>100</v>
      </c>
      <c r="J97">
        <v>10.3</v>
      </c>
      <c r="K97">
        <v>9510</v>
      </c>
      <c r="L97" t="s">
        <v>36</v>
      </c>
      <c r="M97" t="s">
        <v>37</v>
      </c>
      <c r="N97" t="s">
        <v>62</v>
      </c>
      <c r="O97" t="s">
        <v>118</v>
      </c>
      <c r="P97" t="s">
        <v>38</v>
      </c>
      <c r="Q97">
        <v>1</v>
      </c>
      <c r="R97">
        <v>11</v>
      </c>
    </row>
    <row r="98" spans="1:18" x14ac:dyDescent="0.3">
      <c r="A98" t="s">
        <v>329</v>
      </c>
      <c r="B98" t="s">
        <v>70</v>
      </c>
      <c r="C98" t="s">
        <v>20</v>
      </c>
      <c r="D98" t="s">
        <v>41</v>
      </c>
      <c r="E98" t="s">
        <v>330</v>
      </c>
      <c r="F98">
        <v>2018</v>
      </c>
      <c r="G98" t="s">
        <v>331</v>
      </c>
      <c r="H98" t="s">
        <v>35</v>
      </c>
      <c r="I98" t="s">
        <v>61</v>
      </c>
      <c r="J98">
        <v>3.2</v>
      </c>
      <c r="K98">
        <v>33100</v>
      </c>
      <c r="L98" t="s">
        <v>73</v>
      </c>
      <c r="M98" t="s">
        <v>80</v>
      </c>
      <c r="N98" t="s">
        <v>55</v>
      </c>
      <c r="O98" t="s">
        <v>46</v>
      </c>
      <c r="P98" t="s">
        <v>86</v>
      </c>
      <c r="Q98">
        <v>1.6</v>
      </c>
      <c r="R98">
        <v>8</v>
      </c>
    </row>
    <row r="99" spans="1:18" x14ac:dyDescent="0.3">
      <c r="A99" t="s">
        <v>332</v>
      </c>
      <c r="B99" t="s">
        <v>40</v>
      </c>
      <c r="C99" t="s">
        <v>76</v>
      </c>
      <c r="D99" t="s">
        <v>50</v>
      </c>
      <c r="E99" t="s">
        <v>333</v>
      </c>
      <c r="F99">
        <v>2018</v>
      </c>
      <c r="G99" t="s">
        <v>334</v>
      </c>
      <c r="H99" t="s">
        <v>35</v>
      </c>
      <c r="I99" t="s">
        <v>100</v>
      </c>
      <c r="J99">
        <v>11.2</v>
      </c>
      <c r="K99">
        <v>43619</v>
      </c>
      <c r="L99" t="s">
        <v>45</v>
      </c>
      <c r="M99" t="s">
        <v>80</v>
      </c>
      <c r="N99" t="s">
        <v>62</v>
      </c>
      <c r="O99" t="s">
        <v>46</v>
      </c>
      <c r="P99" t="s">
        <v>38</v>
      </c>
      <c r="Q99">
        <v>3</v>
      </c>
      <c r="R99">
        <v>8</v>
      </c>
    </row>
    <row r="100" spans="1:18" x14ac:dyDescent="0.3">
      <c r="A100" t="s">
        <v>335</v>
      </c>
      <c r="B100" t="s">
        <v>70</v>
      </c>
      <c r="C100" t="s">
        <v>20</v>
      </c>
      <c r="D100" t="s">
        <v>77</v>
      </c>
      <c r="E100" t="s">
        <v>336</v>
      </c>
      <c r="F100">
        <v>2016</v>
      </c>
      <c r="G100" t="s">
        <v>67</v>
      </c>
      <c r="H100" t="s">
        <v>24</v>
      </c>
      <c r="I100" t="s">
        <v>61</v>
      </c>
      <c r="J100">
        <v>10.4</v>
      </c>
      <c r="K100">
        <v>27765</v>
      </c>
      <c r="L100" t="s">
        <v>26</v>
      </c>
      <c r="M100" t="s">
        <v>54</v>
      </c>
      <c r="N100" t="s">
        <v>62</v>
      </c>
      <c r="O100" t="s">
        <v>46</v>
      </c>
      <c r="P100" t="s">
        <v>30</v>
      </c>
      <c r="Q100">
        <v>1.4</v>
      </c>
      <c r="R100">
        <v>10</v>
      </c>
    </row>
    <row r="101" spans="1:18" x14ac:dyDescent="0.3">
      <c r="A101" t="s">
        <v>337</v>
      </c>
      <c r="B101" t="s">
        <v>58</v>
      </c>
      <c r="C101" t="s">
        <v>76</v>
      </c>
      <c r="D101" t="s">
        <v>82</v>
      </c>
      <c r="E101" t="s">
        <v>338</v>
      </c>
      <c r="F101">
        <v>2022</v>
      </c>
      <c r="G101" t="s">
        <v>305</v>
      </c>
      <c r="H101" t="s">
        <v>24</v>
      </c>
      <c r="I101" t="s">
        <v>53</v>
      </c>
      <c r="J101">
        <v>6</v>
      </c>
      <c r="K101">
        <v>22758</v>
      </c>
      <c r="L101" t="s">
        <v>45</v>
      </c>
      <c r="M101" t="s">
        <v>80</v>
      </c>
      <c r="N101" t="s">
        <v>28</v>
      </c>
      <c r="O101" t="s">
        <v>29</v>
      </c>
      <c r="P101" t="s">
        <v>56</v>
      </c>
      <c r="Q101">
        <v>7.7</v>
      </c>
      <c r="R101">
        <v>4</v>
      </c>
    </row>
    <row r="102" spans="1:18" x14ac:dyDescent="0.3">
      <c r="A102" t="s">
        <v>339</v>
      </c>
      <c r="B102" t="s">
        <v>19</v>
      </c>
      <c r="C102" t="s">
        <v>20</v>
      </c>
      <c r="D102" t="s">
        <v>82</v>
      </c>
      <c r="E102" t="s">
        <v>340</v>
      </c>
      <c r="F102">
        <v>2014</v>
      </c>
      <c r="G102" t="s">
        <v>341</v>
      </c>
      <c r="H102" t="s">
        <v>35</v>
      </c>
      <c r="I102" t="s">
        <v>85</v>
      </c>
      <c r="J102">
        <v>11.1</v>
      </c>
      <c r="K102">
        <v>28643</v>
      </c>
      <c r="L102" t="s">
        <v>68</v>
      </c>
      <c r="M102" t="s">
        <v>54</v>
      </c>
      <c r="N102" t="s">
        <v>62</v>
      </c>
      <c r="O102" t="s">
        <v>29</v>
      </c>
      <c r="P102" t="s">
        <v>86</v>
      </c>
      <c r="Q102">
        <v>4.5999999999999996</v>
      </c>
      <c r="R102">
        <v>12</v>
      </c>
    </row>
    <row r="103" spans="1:18" x14ac:dyDescent="0.3">
      <c r="A103" t="s">
        <v>342</v>
      </c>
      <c r="B103" t="s">
        <v>49</v>
      </c>
      <c r="C103" t="s">
        <v>76</v>
      </c>
      <c r="D103" t="s">
        <v>93</v>
      </c>
      <c r="E103" t="s">
        <v>343</v>
      </c>
      <c r="F103">
        <v>2018</v>
      </c>
      <c r="G103" t="s">
        <v>344</v>
      </c>
      <c r="H103" t="s">
        <v>35</v>
      </c>
      <c r="I103" t="s">
        <v>44</v>
      </c>
      <c r="J103">
        <v>4.4000000000000004</v>
      </c>
      <c r="K103">
        <v>40777</v>
      </c>
      <c r="L103" t="s">
        <v>26</v>
      </c>
      <c r="M103" t="s">
        <v>80</v>
      </c>
      <c r="N103" t="s">
        <v>28</v>
      </c>
      <c r="O103" t="s">
        <v>118</v>
      </c>
      <c r="P103" t="s">
        <v>56</v>
      </c>
      <c r="Q103">
        <v>7.8</v>
      </c>
      <c r="R103">
        <v>8</v>
      </c>
    </row>
    <row r="104" spans="1:18" x14ac:dyDescent="0.3">
      <c r="A104" t="s">
        <v>345</v>
      </c>
      <c r="B104" t="s">
        <v>70</v>
      </c>
      <c r="C104" t="s">
        <v>112</v>
      </c>
      <c r="D104" t="s">
        <v>41</v>
      </c>
      <c r="E104" t="s">
        <v>346</v>
      </c>
      <c r="F104">
        <v>2018</v>
      </c>
      <c r="G104" t="s">
        <v>347</v>
      </c>
      <c r="H104" t="s">
        <v>24</v>
      </c>
      <c r="I104" t="s">
        <v>85</v>
      </c>
      <c r="J104">
        <v>3.6</v>
      </c>
      <c r="K104">
        <v>26417</v>
      </c>
      <c r="L104" t="s">
        <v>45</v>
      </c>
      <c r="M104" t="s">
        <v>54</v>
      </c>
      <c r="N104" t="s">
        <v>62</v>
      </c>
      <c r="O104" t="s">
        <v>46</v>
      </c>
      <c r="P104" t="s">
        <v>38</v>
      </c>
      <c r="Q104">
        <v>8.1999999999999993</v>
      </c>
      <c r="R104">
        <v>8</v>
      </c>
    </row>
    <row r="105" spans="1:18" x14ac:dyDescent="0.3">
      <c r="A105" t="s">
        <v>348</v>
      </c>
      <c r="B105" t="s">
        <v>19</v>
      </c>
      <c r="C105" t="s">
        <v>76</v>
      </c>
      <c r="D105" t="s">
        <v>41</v>
      </c>
      <c r="E105" t="s">
        <v>349</v>
      </c>
      <c r="F105">
        <v>2015</v>
      </c>
      <c r="G105" t="s">
        <v>272</v>
      </c>
      <c r="H105" t="s">
        <v>24</v>
      </c>
      <c r="I105" t="s">
        <v>44</v>
      </c>
      <c r="J105">
        <v>15.6</v>
      </c>
      <c r="K105">
        <v>39232</v>
      </c>
      <c r="L105" t="s">
        <v>36</v>
      </c>
      <c r="M105" t="s">
        <v>27</v>
      </c>
      <c r="N105" t="s">
        <v>62</v>
      </c>
      <c r="O105" t="s">
        <v>46</v>
      </c>
      <c r="P105" t="s">
        <v>47</v>
      </c>
      <c r="Q105">
        <v>3.3</v>
      </c>
      <c r="R105">
        <v>11</v>
      </c>
    </row>
    <row r="106" spans="1:18" x14ac:dyDescent="0.3">
      <c r="A106" t="s">
        <v>350</v>
      </c>
      <c r="B106" t="s">
        <v>70</v>
      </c>
      <c r="C106" t="s">
        <v>64</v>
      </c>
      <c r="D106" t="s">
        <v>50</v>
      </c>
      <c r="E106" t="s">
        <v>351</v>
      </c>
      <c r="F106">
        <v>2020</v>
      </c>
      <c r="G106" t="s">
        <v>352</v>
      </c>
      <c r="H106" t="s">
        <v>96</v>
      </c>
      <c r="I106" t="s">
        <v>85</v>
      </c>
      <c r="J106">
        <v>15.1</v>
      </c>
      <c r="K106">
        <v>25214</v>
      </c>
      <c r="L106" t="s">
        <v>26</v>
      </c>
      <c r="M106" t="s">
        <v>27</v>
      </c>
      <c r="N106" t="s">
        <v>28</v>
      </c>
      <c r="O106" t="s">
        <v>29</v>
      </c>
      <c r="P106" t="s">
        <v>47</v>
      </c>
      <c r="Q106">
        <v>6.1</v>
      </c>
      <c r="R106">
        <v>6</v>
      </c>
    </row>
    <row r="107" spans="1:18" x14ac:dyDescent="0.3">
      <c r="A107" t="s">
        <v>353</v>
      </c>
      <c r="B107" t="s">
        <v>58</v>
      </c>
      <c r="C107" t="s">
        <v>20</v>
      </c>
      <c r="D107" t="s">
        <v>65</v>
      </c>
      <c r="E107" t="s">
        <v>354</v>
      </c>
      <c r="F107">
        <v>2022</v>
      </c>
      <c r="G107" t="s">
        <v>52</v>
      </c>
      <c r="H107" t="s">
        <v>24</v>
      </c>
      <c r="I107" t="s">
        <v>53</v>
      </c>
      <c r="J107">
        <v>14.1</v>
      </c>
      <c r="K107">
        <v>6505</v>
      </c>
      <c r="L107" t="s">
        <v>45</v>
      </c>
      <c r="M107" t="s">
        <v>80</v>
      </c>
      <c r="N107" t="s">
        <v>62</v>
      </c>
      <c r="O107" t="s">
        <v>46</v>
      </c>
      <c r="P107" t="s">
        <v>56</v>
      </c>
      <c r="Q107">
        <v>9.1</v>
      </c>
      <c r="R107">
        <v>4</v>
      </c>
    </row>
    <row r="108" spans="1:18" x14ac:dyDescent="0.3">
      <c r="A108" t="s">
        <v>355</v>
      </c>
      <c r="B108" t="s">
        <v>40</v>
      </c>
      <c r="C108" t="s">
        <v>64</v>
      </c>
      <c r="D108" t="s">
        <v>41</v>
      </c>
      <c r="E108" t="s">
        <v>356</v>
      </c>
      <c r="F108">
        <v>2019</v>
      </c>
      <c r="G108" t="s">
        <v>357</v>
      </c>
      <c r="H108" t="s">
        <v>24</v>
      </c>
      <c r="I108" t="s">
        <v>61</v>
      </c>
      <c r="J108">
        <v>3.5</v>
      </c>
      <c r="K108">
        <v>11518</v>
      </c>
      <c r="L108" t="s">
        <v>101</v>
      </c>
      <c r="M108" t="s">
        <v>80</v>
      </c>
      <c r="N108" t="s">
        <v>28</v>
      </c>
      <c r="O108" t="s">
        <v>46</v>
      </c>
      <c r="P108" t="s">
        <v>47</v>
      </c>
      <c r="Q108">
        <v>4.9000000000000004</v>
      </c>
      <c r="R108">
        <v>7</v>
      </c>
    </row>
    <row r="109" spans="1:18" x14ac:dyDescent="0.3">
      <c r="A109" t="s">
        <v>358</v>
      </c>
      <c r="B109" t="s">
        <v>49</v>
      </c>
      <c r="C109" t="s">
        <v>76</v>
      </c>
      <c r="D109" t="s">
        <v>65</v>
      </c>
      <c r="E109" t="s">
        <v>359</v>
      </c>
      <c r="F109">
        <v>2023</v>
      </c>
      <c r="G109" t="s">
        <v>360</v>
      </c>
      <c r="H109" t="s">
        <v>96</v>
      </c>
      <c r="I109" t="s">
        <v>100</v>
      </c>
      <c r="J109">
        <v>11.8</v>
      </c>
      <c r="K109">
        <v>42428</v>
      </c>
      <c r="L109" t="s">
        <v>68</v>
      </c>
      <c r="M109" t="s">
        <v>37</v>
      </c>
      <c r="N109" t="s">
        <v>28</v>
      </c>
      <c r="O109" t="s">
        <v>118</v>
      </c>
      <c r="P109" t="s">
        <v>30</v>
      </c>
      <c r="Q109">
        <v>5</v>
      </c>
      <c r="R109">
        <v>3</v>
      </c>
    </row>
    <row r="110" spans="1:18" x14ac:dyDescent="0.3">
      <c r="A110" t="s">
        <v>361</v>
      </c>
      <c r="B110" t="s">
        <v>70</v>
      </c>
      <c r="C110" t="s">
        <v>32</v>
      </c>
      <c r="D110" t="s">
        <v>41</v>
      </c>
      <c r="E110" t="s">
        <v>362</v>
      </c>
      <c r="F110">
        <v>2024</v>
      </c>
      <c r="G110" t="s">
        <v>134</v>
      </c>
      <c r="H110" t="s">
        <v>24</v>
      </c>
      <c r="I110" t="s">
        <v>44</v>
      </c>
      <c r="J110">
        <v>5.9</v>
      </c>
      <c r="K110">
        <v>31116</v>
      </c>
      <c r="L110" t="s">
        <v>26</v>
      </c>
      <c r="M110" t="s">
        <v>80</v>
      </c>
      <c r="N110" t="s">
        <v>55</v>
      </c>
      <c r="O110" t="s">
        <v>118</v>
      </c>
      <c r="P110" t="s">
        <v>30</v>
      </c>
      <c r="Q110">
        <v>6.6</v>
      </c>
      <c r="R110">
        <v>2</v>
      </c>
    </row>
    <row r="111" spans="1:18" x14ac:dyDescent="0.3">
      <c r="A111" t="s">
        <v>363</v>
      </c>
      <c r="B111" t="s">
        <v>49</v>
      </c>
      <c r="C111" t="s">
        <v>32</v>
      </c>
      <c r="D111" t="s">
        <v>82</v>
      </c>
      <c r="E111" t="s">
        <v>364</v>
      </c>
      <c r="F111">
        <v>2015</v>
      </c>
      <c r="G111" t="s">
        <v>365</v>
      </c>
      <c r="H111" t="s">
        <v>24</v>
      </c>
      <c r="I111" t="s">
        <v>100</v>
      </c>
      <c r="J111">
        <v>17.2</v>
      </c>
      <c r="K111">
        <v>4188</v>
      </c>
      <c r="L111" t="s">
        <v>36</v>
      </c>
      <c r="M111" t="s">
        <v>54</v>
      </c>
      <c r="N111" t="s">
        <v>55</v>
      </c>
      <c r="O111" t="s">
        <v>46</v>
      </c>
      <c r="P111" t="s">
        <v>47</v>
      </c>
      <c r="Q111">
        <v>5.3</v>
      </c>
      <c r="R111">
        <v>11</v>
      </c>
    </row>
    <row r="112" spans="1:18" x14ac:dyDescent="0.3">
      <c r="A112" t="s">
        <v>366</v>
      </c>
      <c r="B112" t="s">
        <v>19</v>
      </c>
      <c r="C112" t="s">
        <v>20</v>
      </c>
      <c r="D112" t="s">
        <v>65</v>
      </c>
      <c r="E112" t="s">
        <v>367</v>
      </c>
      <c r="F112">
        <v>2014</v>
      </c>
      <c r="G112" t="s">
        <v>104</v>
      </c>
      <c r="H112" t="s">
        <v>24</v>
      </c>
      <c r="I112" t="s">
        <v>25</v>
      </c>
      <c r="J112">
        <v>3.5</v>
      </c>
      <c r="K112">
        <v>17736</v>
      </c>
      <c r="L112" t="s">
        <v>101</v>
      </c>
      <c r="M112" t="s">
        <v>27</v>
      </c>
      <c r="N112" t="s">
        <v>55</v>
      </c>
      <c r="O112" t="s">
        <v>46</v>
      </c>
      <c r="P112" t="s">
        <v>74</v>
      </c>
      <c r="Q112">
        <v>6.3</v>
      </c>
      <c r="R112">
        <v>12</v>
      </c>
    </row>
    <row r="113" spans="1:18" x14ac:dyDescent="0.3">
      <c r="A113" t="s">
        <v>368</v>
      </c>
      <c r="B113" t="s">
        <v>70</v>
      </c>
      <c r="C113" t="s">
        <v>76</v>
      </c>
      <c r="D113" t="s">
        <v>82</v>
      </c>
      <c r="E113" t="s">
        <v>369</v>
      </c>
      <c r="F113">
        <v>2019</v>
      </c>
      <c r="G113" t="s">
        <v>370</v>
      </c>
      <c r="H113" t="s">
        <v>35</v>
      </c>
      <c r="I113" t="s">
        <v>25</v>
      </c>
      <c r="J113">
        <v>11</v>
      </c>
      <c r="K113">
        <v>42845</v>
      </c>
      <c r="L113" t="s">
        <v>101</v>
      </c>
      <c r="M113" t="s">
        <v>37</v>
      </c>
      <c r="N113" t="s">
        <v>28</v>
      </c>
      <c r="O113" t="s">
        <v>118</v>
      </c>
      <c r="P113" t="s">
        <v>30</v>
      </c>
      <c r="Q113">
        <v>5.8</v>
      </c>
      <c r="R113">
        <v>7</v>
      </c>
    </row>
    <row r="114" spans="1:18" x14ac:dyDescent="0.3">
      <c r="A114" t="s">
        <v>371</v>
      </c>
      <c r="B114" t="s">
        <v>70</v>
      </c>
      <c r="C114" t="s">
        <v>32</v>
      </c>
      <c r="D114" t="s">
        <v>50</v>
      </c>
      <c r="E114" t="s">
        <v>372</v>
      </c>
      <c r="F114">
        <v>2020</v>
      </c>
      <c r="G114" t="s">
        <v>373</v>
      </c>
      <c r="H114" t="s">
        <v>24</v>
      </c>
      <c r="I114" t="s">
        <v>44</v>
      </c>
      <c r="J114">
        <v>10.7</v>
      </c>
      <c r="K114">
        <v>10768</v>
      </c>
      <c r="L114" t="s">
        <v>68</v>
      </c>
      <c r="M114" t="s">
        <v>37</v>
      </c>
      <c r="N114" t="s">
        <v>62</v>
      </c>
      <c r="O114" t="s">
        <v>46</v>
      </c>
      <c r="P114" t="s">
        <v>38</v>
      </c>
      <c r="Q114">
        <v>4.2</v>
      </c>
      <c r="R114">
        <v>6</v>
      </c>
    </row>
    <row r="115" spans="1:18" x14ac:dyDescent="0.3">
      <c r="A115" t="s">
        <v>374</v>
      </c>
      <c r="B115" t="s">
        <v>19</v>
      </c>
      <c r="C115" t="s">
        <v>20</v>
      </c>
      <c r="D115" t="s">
        <v>93</v>
      </c>
      <c r="E115" t="s">
        <v>375</v>
      </c>
      <c r="F115">
        <v>2023</v>
      </c>
      <c r="G115" t="s">
        <v>376</v>
      </c>
      <c r="H115" t="s">
        <v>24</v>
      </c>
      <c r="I115" t="s">
        <v>53</v>
      </c>
      <c r="J115">
        <v>14.7</v>
      </c>
      <c r="K115">
        <v>35997</v>
      </c>
      <c r="L115" t="s">
        <v>26</v>
      </c>
      <c r="M115" t="s">
        <v>27</v>
      </c>
      <c r="N115" t="s">
        <v>62</v>
      </c>
      <c r="O115" t="s">
        <v>118</v>
      </c>
      <c r="P115" t="s">
        <v>30</v>
      </c>
      <c r="Q115">
        <v>3.9</v>
      </c>
      <c r="R115">
        <v>3</v>
      </c>
    </row>
    <row r="116" spans="1:18" x14ac:dyDescent="0.3">
      <c r="A116" t="s">
        <v>377</v>
      </c>
      <c r="B116" t="s">
        <v>70</v>
      </c>
      <c r="C116" t="s">
        <v>76</v>
      </c>
      <c r="D116" t="s">
        <v>21</v>
      </c>
      <c r="E116" t="s">
        <v>378</v>
      </c>
      <c r="F116">
        <v>2016</v>
      </c>
      <c r="G116" t="s">
        <v>379</v>
      </c>
      <c r="H116" t="s">
        <v>24</v>
      </c>
      <c r="I116" t="s">
        <v>61</v>
      </c>
      <c r="J116">
        <v>3.2</v>
      </c>
      <c r="K116">
        <v>20885</v>
      </c>
      <c r="L116" t="s">
        <v>26</v>
      </c>
      <c r="M116" t="s">
        <v>80</v>
      </c>
      <c r="N116" t="s">
        <v>62</v>
      </c>
      <c r="O116" t="s">
        <v>118</v>
      </c>
      <c r="P116" t="s">
        <v>74</v>
      </c>
      <c r="Q116">
        <v>1.7</v>
      </c>
      <c r="R116">
        <v>10</v>
      </c>
    </row>
    <row r="117" spans="1:18" x14ac:dyDescent="0.3">
      <c r="A117" t="s">
        <v>380</v>
      </c>
      <c r="B117" t="s">
        <v>40</v>
      </c>
      <c r="C117" t="s">
        <v>64</v>
      </c>
      <c r="D117" t="s">
        <v>50</v>
      </c>
      <c r="E117" t="s">
        <v>381</v>
      </c>
      <c r="F117">
        <v>2020</v>
      </c>
      <c r="G117" t="s">
        <v>43</v>
      </c>
      <c r="H117" t="s">
        <v>35</v>
      </c>
      <c r="I117" t="s">
        <v>100</v>
      </c>
      <c r="J117">
        <v>14.7</v>
      </c>
      <c r="K117">
        <v>12348</v>
      </c>
      <c r="L117" t="s">
        <v>101</v>
      </c>
      <c r="M117" t="s">
        <v>27</v>
      </c>
      <c r="N117" t="s">
        <v>28</v>
      </c>
      <c r="O117" t="s">
        <v>118</v>
      </c>
      <c r="P117" t="s">
        <v>86</v>
      </c>
      <c r="Q117">
        <v>6.9</v>
      </c>
      <c r="R117">
        <v>6</v>
      </c>
    </row>
    <row r="118" spans="1:18" x14ac:dyDescent="0.3">
      <c r="A118" t="s">
        <v>382</v>
      </c>
      <c r="B118" t="s">
        <v>49</v>
      </c>
      <c r="C118" t="s">
        <v>20</v>
      </c>
      <c r="D118" t="s">
        <v>50</v>
      </c>
      <c r="E118" t="s">
        <v>383</v>
      </c>
      <c r="F118">
        <v>2017</v>
      </c>
      <c r="G118" t="s">
        <v>165</v>
      </c>
      <c r="H118" t="s">
        <v>35</v>
      </c>
      <c r="I118" t="s">
        <v>85</v>
      </c>
      <c r="J118">
        <v>4.5999999999999996</v>
      </c>
      <c r="K118">
        <v>17174</v>
      </c>
      <c r="L118" t="s">
        <v>68</v>
      </c>
      <c r="M118" t="s">
        <v>27</v>
      </c>
      <c r="N118" t="s">
        <v>28</v>
      </c>
      <c r="O118" t="s">
        <v>118</v>
      </c>
      <c r="P118" t="s">
        <v>38</v>
      </c>
      <c r="Q118">
        <v>9.5</v>
      </c>
      <c r="R118">
        <v>9</v>
      </c>
    </row>
    <row r="119" spans="1:18" x14ac:dyDescent="0.3">
      <c r="A119" t="s">
        <v>384</v>
      </c>
      <c r="B119" t="s">
        <v>70</v>
      </c>
      <c r="C119" t="s">
        <v>76</v>
      </c>
      <c r="D119" t="s">
        <v>93</v>
      </c>
      <c r="E119" t="s">
        <v>385</v>
      </c>
      <c r="F119">
        <v>2021</v>
      </c>
      <c r="G119" t="s">
        <v>386</v>
      </c>
      <c r="H119" t="s">
        <v>35</v>
      </c>
      <c r="I119" t="s">
        <v>61</v>
      </c>
      <c r="J119">
        <v>14.8</v>
      </c>
      <c r="K119">
        <v>41127</v>
      </c>
      <c r="L119" t="s">
        <v>73</v>
      </c>
      <c r="M119" t="s">
        <v>37</v>
      </c>
      <c r="N119" t="s">
        <v>28</v>
      </c>
      <c r="O119" t="s">
        <v>46</v>
      </c>
      <c r="P119" t="s">
        <v>47</v>
      </c>
      <c r="Q119">
        <v>8.8000000000000007</v>
      </c>
      <c r="R119">
        <v>5</v>
      </c>
    </row>
    <row r="120" spans="1:18" x14ac:dyDescent="0.3">
      <c r="A120" t="s">
        <v>387</v>
      </c>
      <c r="B120" t="s">
        <v>49</v>
      </c>
      <c r="C120" t="s">
        <v>112</v>
      </c>
      <c r="D120" t="s">
        <v>77</v>
      </c>
      <c r="E120" t="s">
        <v>388</v>
      </c>
      <c r="F120">
        <v>2022</v>
      </c>
      <c r="G120" t="s">
        <v>389</v>
      </c>
      <c r="H120" t="s">
        <v>24</v>
      </c>
      <c r="I120" t="s">
        <v>61</v>
      </c>
      <c r="J120">
        <v>5.3</v>
      </c>
      <c r="K120">
        <v>35143</v>
      </c>
      <c r="L120" t="s">
        <v>73</v>
      </c>
      <c r="M120" t="s">
        <v>27</v>
      </c>
      <c r="N120" t="s">
        <v>28</v>
      </c>
      <c r="O120" t="s">
        <v>29</v>
      </c>
      <c r="P120" t="s">
        <v>47</v>
      </c>
      <c r="Q120">
        <v>8.9</v>
      </c>
      <c r="R120">
        <v>4</v>
      </c>
    </row>
    <row r="121" spans="1:18" x14ac:dyDescent="0.3">
      <c r="A121" t="s">
        <v>390</v>
      </c>
      <c r="B121" t="s">
        <v>19</v>
      </c>
      <c r="C121" t="s">
        <v>76</v>
      </c>
      <c r="D121" t="s">
        <v>93</v>
      </c>
      <c r="E121" t="s">
        <v>391</v>
      </c>
      <c r="F121">
        <v>2014</v>
      </c>
      <c r="G121" t="s">
        <v>392</v>
      </c>
      <c r="H121" t="s">
        <v>24</v>
      </c>
      <c r="I121" t="s">
        <v>85</v>
      </c>
      <c r="J121">
        <v>17.899999999999999</v>
      </c>
      <c r="K121">
        <v>26070</v>
      </c>
      <c r="L121" t="s">
        <v>73</v>
      </c>
      <c r="M121" t="s">
        <v>80</v>
      </c>
      <c r="N121" t="s">
        <v>55</v>
      </c>
      <c r="O121" t="s">
        <v>29</v>
      </c>
      <c r="P121" t="s">
        <v>38</v>
      </c>
      <c r="Q121">
        <v>6.7</v>
      </c>
      <c r="R121">
        <v>12</v>
      </c>
    </row>
    <row r="122" spans="1:18" x14ac:dyDescent="0.3">
      <c r="A122" t="s">
        <v>393</v>
      </c>
      <c r="B122" t="s">
        <v>19</v>
      </c>
      <c r="C122" t="s">
        <v>20</v>
      </c>
      <c r="D122" t="s">
        <v>50</v>
      </c>
      <c r="E122" t="s">
        <v>394</v>
      </c>
      <c r="F122">
        <v>2016</v>
      </c>
      <c r="G122" t="s">
        <v>395</v>
      </c>
      <c r="H122" t="s">
        <v>24</v>
      </c>
      <c r="I122" t="s">
        <v>61</v>
      </c>
      <c r="J122">
        <v>13.8</v>
      </c>
      <c r="K122">
        <v>32243</v>
      </c>
      <c r="L122" t="s">
        <v>36</v>
      </c>
      <c r="M122" t="s">
        <v>80</v>
      </c>
      <c r="N122" t="s">
        <v>28</v>
      </c>
      <c r="O122" t="s">
        <v>29</v>
      </c>
      <c r="P122" t="s">
        <v>86</v>
      </c>
      <c r="Q122">
        <v>2.5</v>
      </c>
      <c r="R122">
        <v>10</v>
      </c>
    </row>
    <row r="123" spans="1:18" x14ac:dyDescent="0.3">
      <c r="A123" t="s">
        <v>396</v>
      </c>
      <c r="B123" t="s">
        <v>49</v>
      </c>
      <c r="C123" t="s">
        <v>32</v>
      </c>
      <c r="D123" t="s">
        <v>82</v>
      </c>
      <c r="E123" t="s">
        <v>397</v>
      </c>
      <c r="F123">
        <v>2016</v>
      </c>
      <c r="G123" t="s">
        <v>177</v>
      </c>
      <c r="H123" t="s">
        <v>24</v>
      </c>
      <c r="I123" t="s">
        <v>53</v>
      </c>
      <c r="J123">
        <v>4.7</v>
      </c>
      <c r="K123">
        <v>9485</v>
      </c>
      <c r="L123" t="s">
        <v>26</v>
      </c>
      <c r="M123" t="s">
        <v>54</v>
      </c>
      <c r="N123" t="s">
        <v>55</v>
      </c>
      <c r="O123" t="s">
        <v>46</v>
      </c>
      <c r="P123" t="s">
        <v>74</v>
      </c>
      <c r="Q123">
        <v>4.8</v>
      </c>
      <c r="R123">
        <v>10</v>
      </c>
    </row>
    <row r="124" spans="1:18" x14ac:dyDescent="0.3">
      <c r="A124" t="s">
        <v>398</v>
      </c>
      <c r="B124" t="s">
        <v>49</v>
      </c>
      <c r="C124" t="s">
        <v>32</v>
      </c>
      <c r="D124" t="s">
        <v>41</v>
      </c>
      <c r="E124" t="s">
        <v>399</v>
      </c>
      <c r="F124">
        <v>2015</v>
      </c>
      <c r="G124" t="s">
        <v>259</v>
      </c>
      <c r="H124" t="s">
        <v>35</v>
      </c>
      <c r="I124" t="s">
        <v>100</v>
      </c>
      <c r="J124">
        <v>4.7</v>
      </c>
      <c r="K124">
        <v>10909</v>
      </c>
      <c r="L124" t="s">
        <v>68</v>
      </c>
      <c r="M124" t="s">
        <v>27</v>
      </c>
      <c r="N124" t="s">
        <v>28</v>
      </c>
      <c r="O124" t="s">
        <v>46</v>
      </c>
      <c r="P124" t="s">
        <v>86</v>
      </c>
      <c r="Q124">
        <v>2.8</v>
      </c>
      <c r="R124">
        <v>11</v>
      </c>
    </row>
    <row r="125" spans="1:18" x14ac:dyDescent="0.3">
      <c r="A125" t="s">
        <v>400</v>
      </c>
      <c r="B125" t="s">
        <v>19</v>
      </c>
      <c r="C125" t="s">
        <v>32</v>
      </c>
      <c r="D125" t="s">
        <v>77</v>
      </c>
      <c r="E125" t="s">
        <v>401</v>
      </c>
      <c r="F125">
        <v>2020</v>
      </c>
      <c r="G125" t="s">
        <v>220</v>
      </c>
      <c r="H125" t="s">
        <v>24</v>
      </c>
      <c r="I125" t="s">
        <v>100</v>
      </c>
      <c r="J125">
        <v>10</v>
      </c>
      <c r="K125">
        <v>34767</v>
      </c>
      <c r="L125" t="s">
        <v>45</v>
      </c>
      <c r="M125" t="s">
        <v>80</v>
      </c>
      <c r="N125" t="s">
        <v>55</v>
      </c>
      <c r="O125" t="s">
        <v>118</v>
      </c>
      <c r="P125" t="s">
        <v>30</v>
      </c>
      <c r="Q125">
        <v>6.5</v>
      </c>
      <c r="R125">
        <v>6</v>
      </c>
    </row>
    <row r="126" spans="1:18" x14ac:dyDescent="0.3">
      <c r="A126" t="s">
        <v>402</v>
      </c>
      <c r="B126" t="s">
        <v>19</v>
      </c>
      <c r="C126" t="s">
        <v>20</v>
      </c>
      <c r="D126" t="s">
        <v>50</v>
      </c>
      <c r="E126" t="s">
        <v>403</v>
      </c>
      <c r="F126">
        <v>2019</v>
      </c>
      <c r="G126" t="s">
        <v>404</v>
      </c>
      <c r="H126" t="s">
        <v>24</v>
      </c>
      <c r="I126" t="s">
        <v>61</v>
      </c>
      <c r="J126">
        <v>13.3</v>
      </c>
      <c r="K126">
        <v>42673</v>
      </c>
      <c r="L126" t="s">
        <v>26</v>
      </c>
      <c r="M126" t="s">
        <v>37</v>
      </c>
      <c r="N126" t="s">
        <v>28</v>
      </c>
      <c r="O126" t="s">
        <v>29</v>
      </c>
      <c r="P126" t="s">
        <v>86</v>
      </c>
      <c r="Q126">
        <v>5.7</v>
      </c>
      <c r="R126">
        <v>7</v>
      </c>
    </row>
    <row r="127" spans="1:18" x14ac:dyDescent="0.3">
      <c r="A127" t="s">
        <v>405</v>
      </c>
      <c r="B127" t="s">
        <v>58</v>
      </c>
      <c r="C127" t="s">
        <v>76</v>
      </c>
      <c r="D127" t="s">
        <v>65</v>
      </c>
      <c r="E127" t="s">
        <v>406</v>
      </c>
      <c r="F127">
        <v>2024</v>
      </c>
      <c r="G127" t="s">
        <v>407</v>
      </c>
      <c r="H127" t="s">
        <v>24</v>
      </c>
      <c r="I127" t="s">
        <v>61</v>
      </c>
      <c r="J127">
        <v>1.6</v>
      </c>
      <c r="K127">
        <v>31494</v>
      </c>
      <c r="L127" t="s">
        <v>26</v>
      </c>
      <c r="M127" t="s">
        <v>37</v>
      </c>
      <c r="N127" t="s">
        <v>28</v>
      </c>
      <c r="O127" t="s">
        <v>29</v>
      </c>
      <c r="P127" t="s">
        <v>56</v>
      </c>
      <c r="Q127">
        <v>8.9</v>
      </c>
      <c r="R127">
        <v>2</v>
      </c>
    </row>
    <row r="128" spans="1:18" x14ac:dyDescent="0.3">
      <c r="A128" t="s">
        <v>408</v>
      </c>
      <c r="B128" t="s">
        <v>49</v>
      </c>
      <c r="C128" t="s">
        <v>76</v>
      </c>
      <c r="D128" t="s">
        <v>50</v>
      </c>
      <c r="E128" t="s">
        <v>409</v>
      </c>
      <c r="F128">
        <v>2019</v>
      </c>
      <c r="G128" t="s">
        <v>410</v>
      </c>
      <c r="H128" t="s">
        <v>35</v>
      </c>
      <c r="I128" t="s">
        <v>53</v>
      </c>
      <c r="J128">
        <v>1.1000000000000001</v>
      </c>
      <c r="K128">
        <v>43895</v>
      </c>
      <c r="L128" t="s">
        <v>73</v>
      </c>
      <c r="M128" t="s">
        <v>37</v>
      </c>
      <c r="N128" t="s">
        <v>55</v>
      </c>
      <c r="O128" t="s">
        <v>29</v>
      </c>
      <c r="P128" t="s">
        <v>38</v>
      </c>
      <c r="Q128">
        <v>3.7</v>
      </c>
      <c r="R128">
        <v>7</v>
      </c>
    </row>
    <row r="129" spans="1:18" x14ac:dyDescent="0.3">
      <c r="A129" t="s">
        <v>411</v>
      </c>
      <c r="B129" t="s">
        <v>70</v>
      </c>
      <c r="C129" t="s">
        <v>76</v>
      </c>
      <c r="D129" t="s">
        <v>82</v>
      </c>
      <c r="E129" t="s">
        <v>412</v>
      </c>
      <c r="F129">
        <v>2015</v>
      </c>
      <c r="G129" t="s">
        <v>413</v>
      </c>
      <c r="H129" t="s">
        <v>35</v>
      </c>
      <c r="I129" t="s">
        <v>85</v>
      </c>
      <c r="J129">
        <v>6.4</v>
      </c>
      <c r="K129">
        <v>13743</v>
      </c>
      <c r="L129" t="s">
        <v>36</v>
      </c>
      <c r="M129" t="s">
        <v>27</v>
      </c>
      <c r="N129" t="s">
        <v>55</v>
      </c>
      <c r="O129" t="s">
        <v>46</v>
      </c>
      <c r="P129" t="s">
        <v>86</v>
      </c>
      <c r="Q129">
        <v>8.1</v>
      </c>
      <c r="R129">
        <v>11</v>
      </c>
    </row>
    <row r="130" spans="1:18" x14ac:dyDescent="0.3">
      <c r="A130" t="s">
        <v>414</v>
      </c>
      <c r="B130" t="s">
        <v>19</v>
      </c>
      <c r="C130" t="s">
        <v>76</v>
      </c>
      <c r="D130" t="s">
        <v>93</v>
      </c>
      <c r="E130" t="s">
        <v>415</v>
      </c>
      <c r="F130">
        <v>2025</v>
      </c>
      <c r="G130" t="s">
        <v>416</v>
      </c>
      <c r="H130" t="s">
        <v>96</v>
      </c>
      <c r="I130" t="s">
        <v>61</v>
      </c>
      <c r="J130">
        <v>10</v>
      </c>
      <c r="K130">
        <v>22550</v>
      </c>
      <c r="L130" t="s">
        <v>26</v>
      </c>
      <c r="M130" t="s">
        <v>80</v>
      </c>
      <c r="N130" t="s">
        <v>55</v>
      </c>
      <c r="O130" t="s">
        <v>46</v>
      </c>
      <c r="P130" t="s">
        <v>86</v>
      </c>
      <c r="Q130">
        <v>3.4</v>
      </c>
      <c r="R130">
        <v>1</v>
      </c>
    </row>
    <row r="131" spans="1:18" x14ac:dyDescent="0.3">
      <c r="A131" t="s">
        <v>417</v>
      </c>
      <c r="B131" t="s">
        <v>58</v>
      </c>
      <c r="C131" t="s">
        <v>64</v>
      </c>
      <c r="D131" t="s">
        <v>65</v>
      </c>
      <c r="E131" t="s">
        <v>418</v>
      </c>
      <c r="F131">
        <v>2023</v>
      </c>
      <c r="G131" t="s">
        <v>72</v>
      </c>
      <c r="H131" t="s">
        <v>24</v>
      </c>
      <c r="I131" t="s">
        <v>85</v>
      </c>
      <c r="J131">
        <v>1.2</v>
      </c>
      <c r="K131">
        <v>24605</v>
      </c>
      <c r="L131" t="s">
        <v>45</v>
      </c>
      <c r="M131" t="s">
        <v>27</v>
      </c>
      <c r="N131" t="s">
        <v>55</v>
      </c>
      <c r="O131" t="s">
        <v>46</v>
      </c>
      <c r="P131" t="s">
        <v>30</v>
      </c>
      <c r="Q131">
        <v>1.2</v>
      </c>
      <c r="R131">
        <v>3</v>
      </c>
    </row>
    <row r="132" spans="1:18" x14ac:dyDescent="0.3">
      <c r="A132" t="s">
        <v>419</v>
      </c>
      <c r="B132" t="s">
        <v>70</v>
      </c>
      <c r="C132" t="s">
        <v>32</v>
      </c>
      <c r="D132" t="s">
        <v>50</v>
      </c>
      <c r="E132" t="s">
        <v>420</v>
      </c>
      <c r="F132">
        <v>2024</v>
      </c>
      <c r="G132" t="s">
        <v>421</v>
      </c>
      <c r="H132" t="s">
        <v>35</v>
      </c>
      <c r="I132" t="s">
        <v>61</v>
      </c>
      <c r="J132">
        <v>17.2</v>
      </c>
      <c r="K132">
        <v>10857</v>
      </c>
      <c r="L132" t="s">
        <v>45</v>
      </c>
      <c r="M132" t="s">
        <v>27</v>
      </c>
      <c r="N132" t="s">
        <v>28</v>
      </c>
      <c r="O132" t="s">
        <v>29</v>
      </c>
      <c r="P132" t="s">
        <v>30</v>
      </c>
      <c r="Q132">
        <v>2.7</v>
      </c>
      <c r="R132">
        <v>2</v>
      </c>
    </row>
    <row r="133" spans="1:18" x14ac:dyDescent="0.3">
      <c r="A133" t="s">
        <v>422</v>
      </c>
      <c r="B133" t="s">
        <v>70</v>
      </c>
      <c r="C133" t="s">
        <v>76</v>
      </c>
      <c r="D133" t="s">
        <v>93</v>
      </c>
      <c r="E133" t="s">
        <v>423</v>
      </c>
      <c r="F133">
        <v>2024</v>
      </c>
      <c r="G133" t="s">
        <v>424</v>
      </c>
      <c r="H133" t="s">
        <v>24</v>
      </c>
      <c r="I133" t="s">
        <v>61</v>
      </c>
      <c r="J133">
        <v>12.4</v>
      </c>
      <c r="K133">
        <v>25811</v>
      </c>
      <c r="L133" t="s">
        <v>68</v>
      </c>
      <c r="M133" t="s">
        <v>27</v>
      </c>
      <c r="N133" t="s">
        <v>28</v>
      </c>
      <c r="O133" t="s">
        <v>46</v>
      </c>
      <c r="P133" t="s">
        <v>56</v>
      </c>
      <c r="Q133">
        <v>5.5</v>
      </c>
      <c r="R133">
        <v>2</v>
      </c>
    </row>
    <row r="134" spans="1:18" x14ac:dyDescent="0.3">
      <c r="A134" t="s">
        <v>425</v>
      </c>
      <c r="B134" t="s">
        <v>70</v>
      </c>
      <c r="C134" t="s">
        <v>64</v>
      </c>
      <c r="D134" t="s">
        <v>41</v>
      </c>
      <c r="E134" t="s">
        <v>426</v>
      </c>
      <c r="F134">
        <v>2020</v>
      </c>
      <c r="G134" t="s">
        <v>427</v>
      </c>
      <c r="H134" t="s">
        <v>24</v>
      </c>
      <c r="I134" t="s">
        <v>61</v>
      </c>
      <c r="J134">
        <v>9.1999999999999993</v>
      </c>
      <c r="K134">
        <v>26861</v>
      </c>
      <c r="L134" t="s">
        <v>45</v>
      </c>
      <c r="M134" t="s">
        <v>80</v>
      </c>
      <c r="N134" t="s">
        <v>55</v>
      </c>
      <c r="O134" t="s">
        <v>118</v>
      </c>
      <c r="P134" t="s">
        <v>38</v>
      </c>
      <c r="Q134">
        <v>4.7</v>
      </c>
      <c r="R134">
        <v>6</v>
      </c>
    </row>
    <row r="135" spans="1:18" x14ac:dyDescent="0.3">
      <c r="A135" t="s">
        <v>428</v>
      </c>
      <c r="B135" t="s">
        <v>58</v>
      </c>
      <c r="C135" t="s">
        <v>64</v>
      </c>
      <c r="D135" t="s">
        <v>41</v>
      </c>
      <c r="E135" t="s">
        <v>429</v>
      </c>
      <c r="F135">
        <v>2023</v>
      </c>
      <c r="G135" t="s">
        <v>430</v>
      </c>
      <c r="H135" t="s">
        <v>24</v>
      </c>
      <c r="I135" t="s">
        <v>44</v>
      </c>
      <c r="J135">
        <v>8.4</v>
      </c>
      <c r="K135">
        <v>30670</v>
      </c>
      <c r="L135" t="s">
        <v>26</v>
      </c>
      <c r="M135" t="s">
        <v>37</v>
      </c>
      <c r="N135" t="s">
        <v>62</v>
      </c>
      <c r="O135" t="s">
        <v>118</v>
      </c>
      <c r="P135" t="s">
        <v>38</v>
      </c>
      <c r="Q135">
        <v>1.1000000000000001</v>
      </c>
      <c r="R135">
        <v>3</v>
      </c>
    </row>
    <row r="136" spans="1:18" x14ac:dyDescent="0.3">
      <c r="A136" t="s">
        <v>431</v>
      </c>
      <c r="B136" t="s">
        <v>70</v>
      </c>
      <c r="C136" t="s">
        <v>64</v>
      </c>
      <c r="D136" t="s">
        <v>65</v>
      </c>
      <c r="E136" t="s">
        <v>432</v>
      </c>
      <c r="F136">
        <v>2022</v>
      </c>
      <c r="G136" t="s">
        <v>347</v>
      </c>
      <c r="H136" t="s">
        <v>35</v>
      </c>
      <c r="I136" t="s">
        <v>25</v>
      </c>
      <c r="J136">
        <v>11.7</v>
      </c>
      <c r="K136">
        <v>25190</v>
      </c>
      <c r="L136" t="s">
        <v>45</v>
      </c>
      <c r="M136" t="s">
        <v>54</v>
      </c>
      <c r="N136" t="s">
        <v>28</v>
      </c>
      <c r="O136" t="s">
        <v>29</v>
      </c>
      <c r="P136" t="s">
        <v>56</v>
      </c>
      <c r="Q136">
        <v>2.7</v>
      </c>
      <c r="R136">
        <v>4</v>
      </c>
    </row>
    <row r="137" spans="1:18" x14ac:dyDescent="0.3">
      <c r="A137" t="s">
        <v>433</v>
      </c>
      <c r="B137" t="s">
        <v>70</v>
      </c>
      <c r="C137" t="s">
        <v>32</v>
      </c>
      <c r="D137" t="s">
        <v>93</v>
      </c>
      <c r="E137" t="s">
        <v>434</v>
      </c>
      <c r="F137">
        <v>2021</v>
      </c>
      <c r="G137" t="s">
        <v>435</v>
      </c>
      <c r="H137" t="s">
        <v>24</v>
      </c>
      <c r="I137" t="s">
        <v>100</v>
      </c>
      <c r="J137">
        <v>2.8</v>
      </c>
      <c r="K137">
        <v>7150</v>
      </c>
      <c r="L137" t="s">
        <v>26</v>
      </c>
      <c r="M137" t="s">
        <v>37</v>
      </c>
      <c r="N137" t="s">
        <v>55</v>
      </c>
      <c r="O137" t="s">
        <v>46</v>
      </c>
      <c r="P137" t="s">
        <v>38</v>
      </c>
      <c r="Q137">
        <v>5</v>
      </c>
      <c r="R137">
        <v>5</v>
      </c>
    </row>
    <row r="138" spans="1:18" x14ac:dyDescent="0.3">
      <c r="A138" t="s">
        <v>436</v>
      </c>
      <c r="B138" t="s">
        <v>58</v>
      </c>
      <c r="C138" t="s">
        <v>32</v>
      </c>
      <c r="D138" t="s">
        <v>41</v>
      </c>
      <c r="E138" t="s">
        <v>437</v>
      </c>
      <c r="F138">
        <v>2020</v>
      </c>
      <c r="G138" t="s">
        <v>438</v>
      </c>
      <c r="H138" t="s">
        <v>24</v>
      </c>
      <c r="I138" t="s">
        <v>53</v>
      </c>
      <c r="J138">
        <v>11.7</v>
      </c>
      <c r="K138">
        <v>30989</v>
      </c>
      <c r="L138" t="s">
        <v>36</v>
      </c>
      <c r="M138" t="s">
        <v>37</v>
      </c>
      <c r="N138" t="s">
        <v>28</v>
      </c>
      <c r="O138" t="s">
        <v>46</v>
      </c>
      <c r="P138" t="s">
        <v>38</v>
      </c>
      <c r="Q138">
        <v>6.1</v>
      </c>
      <c r="R138">
        <v>6</v>
      </c>
    </row>
    <row r="139" spans="1:18" x14ac:dyDescent="0.3">
      <c r="A139" t="s">
        <v>439</v>
      </c>
      <c r="B139" t="s">
        <v>49</v>
      </c>
      <c r="C139" t="s">
        <v>112</v>
      </c>
      <c r="D139" t="s">
        <v>50</v>
      </c>
      <c r="E139" t="s">
        <v>440</v>
      </c>
      <c r="F139">
        <v>2016</v>
      </c>
      <c r="G139" t="s">
        <v>441</v>
      </c>
      <c r="H139" t="s">
        <v>24</v>
      </c>
      <c r="I139" t="s">
        <v>61</v>
      </c>
      <c r="J139">
        <v>5.8</v>
      </c>
      <c r="K139">
        <v>12114</v>
      </c>
      <c r="L139" t="s">
        <v>68</v>
      </c>
      <c r="M139" t="s">
        <v>54</v>
      </c>
      <c r="N139" t="s">
        <v>55</v>
      </c>
      <c r="O139" t="s">
        <v>46</v>
      </c>
      <c r="P139" t="s">
        <v>86</v>
      </c>
      <c r="Q139">
        <v>8.5</v>
      </c>
      <c r="R139">
        <v>10</v>
      </c>
    </row>
    <row r="140" spans="1:18" x14ac:dyDescent="0.3">
      <c r="A140" t="s">
        <v>442</v>
      </c>
      <c r="B140" t="s">
        <v>49</v>
      </c>
      <c r="C140" t="s">
        <v>20</v>
      </c>
      <c r="D140" t="s">
        <v>21</v>
      </c>
      <c r="E140" t="s">
        <v>443</v>
      </c>
      <c r="F140">
        <v>2018</v>
      </c>
      <c r="G140" t="s">
        <v>444</v>
      </c>
      <c r="H140" t="s">
        <v>35</v>
      </c>
      <c r="I140" t="s">
        <v>100</v>
      </c>
      <c r="J140">
        <v>9.8000000000000007</v>
      </c>
      <c r="K140">
        <v>34436</v>
      </c>
      <c r="L140" t="s">
        <v>101</v>
      </c>
      <c r="M140" t="s">
        <v>54</v>
      </c>
      <c r="N140" t="s">
        <v>62</v>
      </c>
      <c r="O140" t="s">
        <v>46</v>
      </c>
      <c r="P140" t="s">
        <v>56</v>
      </c>
      <c r="Q140">
        <v>2.1</v>
      </c>
      <c r="R140">
        <v>8</v>
      </c>
    </row>
    <row r="141" spans="1:18" x14ac:dyDescent="0.3">
      <c r="A141" t="s">
        <v>445</v>
      </c>
      <c r="B141" t="s">
        <v>49</v>
      </c>
      <c r="C141" t="s">
        <v>20</v>
      </c>
      <c r="D141" t="s">
        <v>50</v>
      </c>
      <c r="E141" t="s">
        <v>446</v>
      </c>
      <c r="F141">
        <v>2023</v>
      </c>
      <c r="G141" t="s">
        <v>447</v>
      </c>
      <c r="H141" t="s">
        <v>96</v>
      </c>
      <c r="I141" t="s">
        <v>44</v>
      </c>
      <c r="J141">
        <v>14.9</v>
      </c>
      <c r="K141">
        <v>3359</v>
      </c>
      <c r="L141" t="s">
        <v>26</v>
      </c>
      <c r="M141" t="s">
        <v>80</v>
      </c>
      <c r="N141" t="s">
        <v>62</v>
      </c>
      <c r="O141" t="s">
        <v>46</v>
      </c>
      <c r="P141" t="s">
        <v>86</v>
      </c>
      <c r="Q141">
        <v>6.7</v>
      </c>
      <c r="R141">
        <v>3</v>
      </c>
    </row>
    <row r="142" spans="1:18" x14ac:dyDescent="0.3">
      <c r="A142" t="s">
        <v>448</v>
      </c>
      <c r="B142" t="s">
        <v>49</v>
      </c>
      <c r="C142" t="s">
        <v>112</v>
      </c>
      <c r="D142" t="s">
        <v>82</v>
      </c>
      <c r="E142" t="s">
        <v>449</v>
      </c>
      <c r="F142">
        <v>2023</v>
      </c>
      <c r="G142" t="s">
        <v>392</v>
      </c>
      <c r="H142" t="s">
        <v>96</v>
      </c>
      <c r="I142" t="s">
        <v>100</v>
      </c>
      <c r="J142">
        <v>5.6</v>
      </c>
      <c r="K142">
        <v>21298</v>
      </c>
      <c r="L142" t="s">
        <v>36</v>
      </c>
      <c r="M142" t="s">
        <v>54</v>
      </c>
      <c r="N142" t="s">
        <v>62</v>
      </c>
      <c r="O142" t="s">
        <v>118</v>
      </c>
      <c r="P142" t="s">
        <v>86</v>
      </c>
      <c r="Q142">
        <v>4.8</v>
      </c>
      <c r="R142">
        <v>3</v>
      </c>
    </row>
    <row r="143" spans="1:18" x14ac:dyDescent="0.3">
      <c r="A143" t="s">
        <v>450</v>
      </c>
      <c r="B143" t="s">
        <v>40</v>
      </c>
      <c r="C143" t="s">
        <v>76</v>
      </c>
      <c r="D143" t="s">
        <v>82</v>
      </c>
      <c r="E143" t="s">
        <v>451</v>
      </c>
      <c r="F143">
        <v>2025</v>
      </c>
      <c r="G143" t="s">
        <v>452</v>
      </c>
      <c r="H143" t="s">
        <v>24</v>
      </c>
      <c r="I143" t="s">
        <v>61</v>
      </c>
      <c r="J143">
        <v>6.5</v>
      </c>
      <c r="K143">
        <v>10915</v>
      </c>
      <c r="L143" t="s">
        <v>68</v>
      </c>
      <c r="M143" t="s">
        <v>37</v>
      </c>
      <c r="N143" t="s">
        <v>62</v>
      </c>
      <c r="O143" t="s">
        <v>118</v>
      </c>
      <c r="P143" t="s">
        <v>47</v>
      </c>
      <c r="Q143">
        <v>1.7</v>
      </c>
      <c r="R143">
        <v>1</v>
      </c>
    </row>
    <row r="144" spans="1:18" x14ac:dyDescent="0.3">
      <c r="A144" t="s">
        <v>453</v>
      </c>
      <c r="B144" t="s">
        <v>49</v>
      </c>
      <c r="C144" t="s">
        <v>112</v>
      </c>
      <c r="D144" t="s">
        <v>77</v>
      </c>
      <c r="E144" t="s">
        <v>454</v>
      </c>
      <c r="F144">
        <v>2019</v>
      </c>
      <c r="G144" t="s">
        <v>455</v>
      </c>
      <c r="H144" t="s">
        <v>24</v>
      </c>
      <c r="I144" t="s">
        <v>44</v>
      </c>
      <c r="J144">
        <v>5.2</v>
      </c>
      <c r="K144">
        <v>17747</v>
      </c>
      <c r="L144" t="s">
        <v>73</v>
      </c>
      <c r="M144" t="s">
        <v>80</v>
      </c>
      <c r="N144" t="s">
        <v>28</v>
      </c>
      <c r="O144" t="s">
        <v>118</v>
      </c>
      <c r="P144" t="s">
        <v>47</v>
      </c>
      <c r="Q144">
        <v>8.6999999999999993</v>
      </c>
      <c r="R144">
        <v>7</v>
      </c>
    </row>
    <row r="145" spans="1:18" x14ac:dyDescent="0.3">
      <c r="A145" t="s">
        <v>456</v>
      </c>
      <c r="B145" t="s">
        <v>40</v>
      </c>
      <c r="C145" t="s">
        <v>20</v>
      </c>
      <c r="D145" t="s">
        <v>93</v>
      </c>
      <c r="E145" t="s">
        <v>457</v>
      </c>
      <c r="F145">
        <v>2020</v>
      </c>
      <c r="G145" t="s">
        <v>174</v>
      </c>
      <c r="H145" t="s">
        <v>35</v>
      </c>
      <c r="I145" t="s">
        <v>61</v>
      </c>
      <c r="J145">
        <v>13.9</v>
      </c>
      <c r="K145">
        <v>34154</v>
      </c>
      <c r="L145" t="s">
        <v>45</v>
      </c>
      <c r="M145" t="s">
        <v>27</v>
      </c>
      <c r="N145" t="s">
        <v>55</v>
      </c>
      <c r="O145" t="s">
        <v>118</v>
      </c>
      <c r="P145" t="s">
        <v>47</v>
      </c>
      <c r="Q145">
        <v>0.7</v>
      </c>
      <c r="R145">
        <v>6</v>
      </c>
    </row>
    <row r="146" spans="1:18" x14ac:dyDescent="0.3">
      <c r="A146" t="s">
        <v>458</v>
      </c>
      <c r="B146" t="s">
        <v>58</v>
      </c>
      <c r="C146" t="s">
        <v>64</v>
      </c>
      <c r="D146" t="s">
        <v>21</v>
      </c>
      <c r="E146" t="s">
        <v>459</v>
      </c>
      <c r="F146">
        <v>2020</v>
      </c>
      <c r="G146" t="s">
        <v>91</v>
      </c>
      <c r="H146" t="s">
        <v>35</v>
      </c>
      <c r="I146" t="s">
        <v>44</v>
      </c>
      <c r="J146">
        <v>1.4</v>
      </c>
      <c r="K146">
        <v>33933</v>
      </c>
      <c r="L146" t="s">
        <v>45</v>
      </c>
      <c r="M146" t="s">
        <v>27</v>
      </c>
      <c r="N146" t="s">
        <v>55</v>
      </c>
      <c r="O146" t="s">
        <v>46</v>
      </c>
      <c r="P146" t="s">
        <v>30</v>
      </c>
      <c r="Q146">
        <v>8.5</v>
      </c>
      <c r="R146">
        <v>6</v>
      </c>
    </row>
    <row r="147" spans="1:18" x14ac:dyDescent="0.3">
      <c r="A147" t="s">
        <v>460</v>
      </c>
      <c r="B147" t="s">
        <v>70</v>
      </c>
      <c r="C147" t="s">
        <v>20</v>
      </c>
      <c r="D147" t="s">
        <v>50</v>
      </c>
      <c r="E147" t="s">
        <v>461</v>
      </c>
      <c r="F147">
        <v>2020</v>
      </c>
      <c r="G147" t="s">
        <v>462</v>
      </c>
      <c r="H147" t="s">
        <v>24</v>
      </c>
      <c r="I147" t="s">
        <v>44</v>
      </c>
      <c r="J147">
        <v>7.5</v>
      </c>
      <c r="K147">
        <v>38873</v>
      </c>
      <c r="L147" t="s">
        <v>45</v>
      </c>
      <c r="M147" t="s">
        <v>54</v>
      </c>
      <c r="N147" t="s">
        <v>55</v>
      </c>
      <c r="O147" t="s">
        <v>46</v>
      </c>
      <c r="P147" t="s">
        <v>86</v>
      </c>
      <c r="Q147">
        <v>1.2</v>
      </c>
      <c r="R147">
        <v>6</v>
      </c>
    </row>
    <row r="148" spans="1:18" x14ac:dyDescent="0.3">
      <c r="A148" t="s">
        <v>463</v>
      </c>
      <c r="B148" t="s">
        <v>49</v>
      </c>
      <c r="C148" t="s">
        <v>20</v>
      </c>
      <c r="D148" t="s">
        <v>50</v>
      </c>
      <c r="E148" t="s">
        <v>464</v>
      </c>
      <c r="F148">
        <v>2022</v>
      </c>
      <c r="G148" t="s">
        <v>104</v>
      </c>
      <c r="H148" t="s">
        <v>96</v>
      </c>
      <c r="I148" t="s">
        <v>25</v>
      </c>
      <c r="J148">
        <v>11.2</v>
      </c>
      <c r="K148">
        <v>9932</v>
      </c>
      <c r="L148" t="s">
        <v>26</v>
      </c>
      <c r="M148" t="s">
        <v>27</v>
      </c>
      <c r="N148" t="s">
        <v>55</v>
      </c>
      <c r="O148" t="s">
        <v>118</v>
      </c>
      <c r="P148" t="s">
        <v>74</v>
      </c>
      <c r="Q148">
        <v>9.4</v>
      </c>
      <c r="R148">
        <v>4</v>
      </c>
    </row>
    <row r="149" spans="1:18" x14ac:dyDescent="0.3">
      <c r="A149" t="s">
        <v>465</v>
      </c>
      <c r="B149" t="s">
        <v>49</v>
      </c>
      <c r="C149" t="s">
        <v>32</v>
      </c>
      <c r="D149" t="s">
        <v>82</v>
      </c>
      <c r="E149" t="s">
        <v>466</v>
      </c>
      <c r="F149">
        <v>2016</v>
      </c>
      <c r="G149" t="s">
        <v>444</v>
      </c>
      <c r="H149" t="s">
        <v>35</v>
      </c>
      <c r="I149" t="s">
        <v>44</v>
      </c>
      <c r="J149">
        <v>1.2</v>
      </c>
      <c r="K149">
        <v>23326</v>
      </c>
      <c r="L149" t="s">
        <v>36</v>
      </c>
      <c r="M149" t="s">
        <v>27</v>
      </c>
      <c r="N149" t="s">
        <v>28</v>
      </c>
      <c r="O149" t="s">
        <v>46</v>
      </c>
      <c r="P149" t="s">
        <v>74</v>
      </c>
      <c r="Q149">
        <v>1.8</v>
      </c>
      <c r="R149">
        <v>10</v>
      </c>
    </row>
    <row r="150" spans="1:18" x14ac:dyDescent="0.3">
      <c r="A150" t="s">
        <v>467</v>
      </c>
      <c r="B150" t="s">
        <v>40</v>
      </c>
      <c r="C150" t="s">
        <v>76</v>
      </c>
      <c r="D150" t="s">
        <v>93</v>
      </c>
      <c r="E150" t="s">
        <v>468</v>
      </c>
      <c r="F150">
        <v>2023</v>
      </c>
      <c r="G150" t="s">
        <v>469</v>
      </c>
      <c r="H150" t="s">
        <v>35</v>
      </c>
      <c r="I150" t="s">
        <v>53</v>
      </c>
      <c r="J150">
        <v>10.9</v>
      </c>
      <c r="K150">
        <v>34747</v>
      </c>
      <c r="L150" t="s">
        <v>45</v>
      </c>
      <c r="M150" t="s">
        <v>27</v>
      </c>
      <c r="N150" t="s">
        <v>62</v>
      </c>
      <c r="O150" t="s">
        <v>46</v>
      </c>
      <c r="P150" t="s">
        <v>86</v>
      </c>
      <c r="Q150">
        <v>5</v>
      </c>
      <c r="R150">
        <v>3</v>
      </c>
    </row>
    <row r="151" spans="1:18" x14ac:dyDescent="0.3">
      <c r="A151" t="s">
        <v>470</v>
      </c>
      <c r="B151" t="s">
        <v>70</v>
      </c>
      <c r="C151" t="s">
        <v>112</v>
      </c>
      <c r="D151" t="s">
        <v>82</v>
      </c>
      <c r="E151" t="s">
        <v>471</v>
      </c>
      <c r="F151">
        <v>2014</v>
      </c>
      <c r="G151" t="s">
        <v>472</v>
      </c>
      <c r="H151" t="s">
        <v>35</v>
      </c>
      <c r="I151" t="s">
        <v>25</v>
      </c>
      <c r="J151">
        <v>15.8</v>
      </c>
      <c r="K151">
        <v>42739</v>
      </c>
      <c r="L151" t="s">
        <v>26</v>
      </c>
      <c r="M151" t="s">
        <v>27</v>
      </c>
      <c r="N151" t="s">
        <v>55</v>
      </c>
      <c r="O151" t="s">
        <v>46</v>
      </c>
      <c r="P151" t="s">
        <v>74</v>
      </c>
      <c r="Q151">
        <v>6</v>
      </c>
      <c r="R151">
        <v>12</v>
      </c>
    </row>
    <row r="152" spans="1:18" x14ac:dyDescent="0.3">
      <c r="A152" t="s">
        <v>473</v>
      </c>
      <c r="B152" t="s">
        <v>49</v>
      </c>
      <c r="C152" t="s">
        <v>76</v>
      </c>
      <c r="D152" t="s">
        <v>21</v>
      </c>
      <c r="E152" t="s">
        <v>474</v>
      </c>
      <c r="F152">
        <v>2025</v>
      </c>
      <c r="G152" t="s">
        <v>475</v>
      </c>
      <c r="H152" t="s">
        <v>35</v>
      </c>
      <c r="I152" t="s">
        <v>25</v>
      </c>
      <c r="J152">
        <v>11.3</v>
      </c>
      <c r="K152">
        <v>26416</v>
      </c>
      <c r="L152" t="s">
        <v>73</v>
      </c>
      <c r="M152" t="s">
        <v>54</v>
      </c>
      <c r="N152" t="s">
        <v>28</v>
      </c>
      <c r="O152" t="s">
        <v>46</v>
      </c>
      <c r="P152" t="s">
        <v>38</v>
      </c>
      <c r="Q152">
        <v>1.5</v>
      </c>
      <c r="R152">
        <v>1</v>
      </c>
    </row>
    <row r="153" spans="1:18" x14ac:dyDescent="0.3">
      <c r="A153" t="s">
        <v>476</v>
      </c>
      <c r="B153" t="s">
        <v>70</v>
      </c>
      <c r="C153" t="s">
        <v>76</v>
      </c>
      <c r="D153" t="s">
        <v>21</v>
      </c>
      <c r="E153" t="s">
        <v>477</v>
      </c>
      <c r="F153">
        <v>2014</v>
      </c>
      <c r="G153" t="s">
        <v>225</v>
      </c>
      <c r="H153" t="s">
        <v>24</v>
      </c>
      <c r="I153" t="s">
        <v>61</v>
      </c>
      <c r="J153">
        <v>7.7</v>
      </c>
      <c r="K153">
        <v>41573</v>
      </c>
      <c r="L153" t="s">
        <v>36</v>
      </c>
      <c r="M153" t="s">
        <v>80</v>
      </c>
      <c r="N153" t="s">
        <v>62</v>
      </c>
      <c r="O153" t="s">
        <v>29</v>
      </c>
      <c r="P153" t="s">
        <v>74</v>
      </c>
      <c r="Q153">
        <v>2.5</v>
      </c>
      <c r="R153">
        <v>12</v>
      </c>
    </row>
    <row r="154" spans="1:18" x14ac:dyDescent="0.3">
      <c r="A154" t="s">
        <v>478</v>
      </c>
      <c r="B154" t="s">
        <v>58</v>
      </c>
      <c r="C154" t="s">
        <v>32</v>
      </c>
      <c r="D154" t="s">
        <v>82</v>
      </c>
      <c r="E154" t="s">
        <v>479</v>
      </c>
      <c r="F154">
        <v>2019</v>
      </c>
      <c r="G154" t="s">
        <v>480</v>
      </c>
      <c r="H154" t="s">
        <v>24</v>
      </c>
      <c r="I154" t="s">
        <v>61</v>
      </c>
      <c r="J154">
        <v>8.5</v>
      </c>
      <c r="K154">
        <v>36439</v>
      </c>
      <c r="L154" t="s">
        <v>68</v>
      </c>
      <c r="M154" t="s">
        <v>37</v>
      </c>
      <c r="N154" t="s">
        <v>62</v>
      </c>
      <c r="O154" t="s">
        <v>46</v>
      </c>
      <c r="P154" t="s">
        <v>38</v>
      </c>
      <c r="Q154">
        <v>6.6</v>
      </c>
      <c r="R154">
        <v>7</v>
      </c>
    </row>
    <row r="155" spans="1:18" x14ac:dyDescent="0.3">
      <c r="A155" t="s">
        <v>481</v>
      </c>
      <c r="B155" t="s">
        <v>49</v>
      </c>
      <c r="C155" t="s">
        <v>76</v>
      </c>
      <c r="D155" t="s">
        <v>21</v>
      </c>
      <c r="E155" t="s">
        <v>482</v>
      </c>
      <c r="F155">
        <v>2025</v>
      </c>
      <c r="G155" t="s">
        <v>99</v>
      </c>
      <c r="H155" t="s">
        <v>96</v>
      </c>
      <c r="I155" t="s">
        <v>53</v>
      </c>
      <c r="J155">
        <v>10.3</v>
      </c>
      <c r="K155">
        <v>16236</v>
      </c>
      <c r="L155" t="s">
        <v>68</v>
      </c>
      <c r="M155" t="s">
        <v>37</v>
      </c>
      <c r="N155" t="s">
        <v>62</v>
      </c>
      <c r="O155" t="s">
        <v>29</v>
      </c>
      <c r="P155" t="s">
        <v>38</v>
      </c>
      <c r="Q155">
        <v>7.2</v>
      </c>
      <c r="R155">
        <v>1</v>
      </c>
    </row>
    <row r="156" spans="1:18" x14ac:dyDescent="0.3">
      <c r="A156" t="s">
        <v>483</v>
      </c>
      <c r="B156" t="s">
        <v>70</v>
      </c>
      <c r="C156" t="s">
        <v>32</v>
      </c>
      <c r="D156" t="s">
        <v>50</v>
      </c>
      <c r="E156" t="s">
        <v>484</v>
      </c>
      <c r="F156">
        <v>2019</v>
      </c>
      <c r="G156" t="s">
        <v>485</v>
      </c>
      <c r="H156" t="s">
        <v>35</v>
      </c>
      <c r="I156" t="s">
        <v>53</v>
      </c>
      <c r="J156">
        <v>2.6</v>
      </c>
      <c r="K156">
        <v>37098</v>
      </c>
      <c r="L156" t="s">
        <v>36</v>
      </c>
      <c r="M156" t="s">
        <v>27</v>
      </c>
      <c r="N156" t="s">
        <v>55</v>
      </c>
      <c r="O156" t="s">
        <v>29</v>
      </c>
      <c r="P156" t="s">
        <v>86</v>
      </c>
      <c r="Q156">
        <v>0.9</v>
      </c>
      <c r="R156">
        <v>7</v>
      </c>
    </row>
    <row r="157" spans="1:18" x14ac:dyDescent="0.3">
      <c r="A157" t="s">
        <v>486</v>
      </c>
      <c r="B157" t="s">
        <v>70</v>
      </c>
      <c r="C157" t="s">
        <v>76</v>
      </c>
      <c r="D157" t="s">
        <v>65</v>
      </c>
      <c r="E157" t="s">
        <v>487</v>
      </c>
      <c r="F157">
        <v>2025</v>
      </c>
      <c r="G157" t="s">
        <v>52</v>
      </c>
      <c r="H157" t="s">
        <v>24</v>
      </c>
      <c r="I157" t="s">
        <v>85</v>
      </c>
      <c r="J157">
        <v>4.2</v>
      </c>
      <c r="K157">
        <v>36796</v>
      </c>
      <c r="L157" t="s">
        <v>68</v>
      </c>
      <c r="M157" t="s">
        <v>37</v>
      </c>
      <c r="N157" t="s">
        <v>28</v>
      </c>
      <c r="O157" t="s">
        <v>29</v>
      </c>
      <c r="P157" t="s">
        <v>74</v>
      </c>
      <c r="Q157">
        <v>7.5</v>
      </c>
      <c r="R157">
        <v>1</v>
      </c>
    </row>
    <row r="158" spans="1:18" x14ac:dyDescent="0.3">
      <c r="A158" t="s">
        <v>488</v>
      </c>
      <c r="B158" t="s">
        <v>19</v>
      </c>
      <c r="C158" t="s">
        <v>32</v>
      </c>
      <c r="D158" t="s">
        <v>21</v>
      </c>
      <c r="E158" t="s">
        <v>489</v>
      </c>
      <c r="F158">
        <v>2017</v>
      </c>
      <c r="G158" t="s">
        <v>490</v>
      </c>
      <c r="H158" t="s">
        <v>35</v>
      </c>
      <c r="I158" t="s">
        <v>44</v>
      </c>
      <c r="J158">
        <v>2.2999999999999998</v>
      </c>
      <c r="K158">
        <v>23146</v>
      </c>
      <c r="L158" t="s">
        <v>101</v>
      </c>
      <c r="M158" t="s">
        <v>27</v>
      </c>
      <c r="N158" t="s">
        <v>28</v>
      </c>
      <c r="O158" t="s">
        <v>46</v>
      </c>
      <c r="P158" t="s">
        <v>56</v>
      </c>
      <c r="Q158">
        <v>0.5</v>
      </c>
      <c r="R158">
        <v>9</v>
      </c>
    </row>
    <row r="159" spans="1:18" x14ac:dyDescent="0.3">
      <c r="A159" t="s">
        <v>491</v>
      </c>
      <c r="B159" t="s">
        <v>58</v>
      </c>
      <c r="C159" t="s">
        <v>76</v>
      </c>
      <c r="D159" t="s">
        <v>82</v>
      </c>
      <c r="E159" t="s">
        <v>492</v>
      </c>
      <c r="F159">
        <v>2022</v>
      </c>
      <c r="G159" t="s">
        <v>493</v>
      </c>
      <c r="H159" t="s">
        <v>35</v>
      </c>
      <c r="I159" t="s">
        <v>53</v>
      </c>
      <c r="J159">
        <v>6.1</v>
      </c>
      <c r="K159">
        <v>43829</v>
      </c>
      <c r="L159" t="s">
        <v>26</v>
      </c>
      <c r="M159" t="s">
        <v>80</v>
      </c>
      <c r="N159" t="s">
        <v>62</v>
      </c>
      <c r="O159" t="s">
        <v>46</v>
      </c>
      <c r="P159" t="s">
        <v>56</v>
      </c>
      <c r="Q159">
        <v>5.6</v>
      </c>
      <c r="R159">
        <v>4</v>
      </c>
    </row>
    <row r="160" spans="1:18" x14ac:dyDescent="0.3">
      <c r="A160" t="s">
        <v>494</v>
      </c>
      <c r="B160" t="s">
        <v>40</v>
      </c>
      <c r="C160" t="s">
        <v>76</v>
      </c>
      <c r="D160" t="s">
        <v>50</v>
      </c>
      <c r="E160" t="s">
        <v>495</v>
      </c>
      <c r="F160">
        <v>2025</v>
      </c>
      <c r="G160" t="s">
        <v>496</v>
      </c>
      <c r="H160" t="s">
        <v>24</v>
      </c>
      <c r="I160" t="s">
        <v>44</v>
      </c>
      <c r="J160">
        <v>18</v>
      </c>
      <c r="K160">
        <v>27517</v>
      </c>
      <c r="L160" t="s">
        <v>36</v>
      </c>
      <c r="M160" t="s">
        <v>54</v>
      </c>
      <c r="N160" t="s">
        <v>62</v>
      </c>
      <c r="O160" t="s">
        <v>118</v>
      </c>
      <c r="P160" t="s">
        <v>30</v>
      </c>
      <c r="Q160">
        <v>0.6</v>
      </c>
      <c r="R160">
        <v>1</v>
      </c>
    </row>
    <row r="161" spans="1:18" x14ac:dyDescent="0.3">
      <c r="A161" t="s">
        <v>497</v>
      </c>
      <c r="B161" t="s">
        <v>19</v>
      </c>
      <c r="C161" t="s">
        <v>20</v>
      </c>
      <c r="D161" t="s">
        <v>77</v>
      </c>
      <c r="E161" t="s">
        <v>498</v>
      </c>
      <c r="F161">
        <v>2023</v>
      </c>
      <c r="G161" t="s">
        <v>34</v>
      </c>
      <c r="H161" t="s">
        <v>24</v>
      </c>
      <c r="I161" t="s">
        <v>25</v>
      </c>
      <c r="J161">
        <v>10</v>
      </c>
      <c r="K161">
        <v>33869</v>
      </c>
      <c r="L161" t="s">
        <v>73</v>
      </c>
      <c r="M161" t="s">
        <v>27</v>
      </c>
      <c r="N161" t="s">
        <v>55</v>
      </c>
      <c r="O161" t="s">
        <v>29</v>
      </c>
      <c r="P161" t="s">
        <v>30</v>
      </c>
      <c r="Q161">
        <v>3.6</v>
      </c>
      <c r="R161">
        <v>3</v>
      </c>
    </row>
    <row r="162" spans="1:18" x14ac:dyDescent="0.3">
      <c r="A162" t="s">
        <v>499</v>
      </c>
      <c r="B162" t="s">
        <v>70</v>
      </c>
      <c r="C162" t="s">
        <v>64</v>
      </c>
      <c r="D162" t="s">
        <v>41</v>
      </c>
      <c r="E162" t="s">
        <v>500</v>
      </c>
      <c r="F162">
        <v>2025</v>
      </c>
      <c r="G162" t="s">
        <v>501</v>
      </c>
      <c r="H162" t="s">
        <v>35</v>
      </c>
      <c r="I162" t="s">
        <v>53</v>
      </c>
      <c r="J162">
        <v>10.4</v>
      </c>
      <c r="K162">
        <v>14159</v>
      </c>
      <c r="L162" t="s">
        <v>73</v>
      </c>
      <c r="M162" t="s">
        <v>27</v>
      </c>
      <c r="N162" t="s">
        <v>55</v>
      </c>
      <c r="O162" t="s">
        <v>46</v>
      </c>
      <c r="P162" t="s">
        <v>86</v>
      </c>
      <c r="Q162">
        <v>1.3</v>
      </c>
      <c r="R162">
        <v>1</v>
      </c>
    </row>
    <row r="163" spans="1:18" x14ac:dyDescent="0.3">
      <c r="A163" t="s">
        <v>502</v>
      </c>
      <c r="B163" t="s">
        <v>40</v>
      </c>
      <c r="C163" t="s">
        <v>64</v>
      </c>
      <c r="D163" t="s">
        <v>82</v>
      </c>
      <c r="E163" t="s">
        <v>503</v>
      </c>
      <c r="F163">
        <v>2024</v>
      </c>
      <c r="G163" t="s">
        <v>504</v>
      </c>
      <c r="H163" t="s">
        <v>24</v>
      </c>
      <c r="I163" t="s">
        <v>61</v>
      </c>
      <c r="J163">
        <v>0.6</v>
      </c>
      <c r="K163">
        <v>26637</v>
      </c>
      <c r="L163" t="s">
        <v>73</v>
      </c>
      <c r="M163" t="s">
        <v>27</v>
      </c>
      <c r="N163" t="s">
        <v>55</v>
      </c>
      <c r="O163" t="s">
        <v>118</v>
      </c>
      <c r="P163" t="s">
        <v>86</v>
      </c>
      <c r="Q163">
        <v>6</v>
      </c>
      <c r="R163">
        <v>2</v>
      </c>
    </row>
    <row r="164" spans="1:18" x14ac:dyDescent="0.3">
      <c r="A164" t="s">
        <v>505</v>
      </c>
      <c r="B164" t="s">
        <v>70</v>
      </c>
      <c r="C164" t="s">
        <v>20</v>
      </c>
      <c r="D164" t="s">
        <v>65</v>
      </c>
      <c r="E164" t="s">
        <v>506</v>
      </c>
      <c r="F164">
        <v>2023</v>
      </c>
      <c r="G164" t="s">
        <v>507</v>
      </c>
      <c r="H164" t="s">
        <v>24</v>
      </c>
      <c r="I164" t="s">
        <v>25</v>
      </c>
      <c r="J164">
        <v>2.6</v>
      </c>
      <c r="K164">
        <v>21606</v>
      </c>
      <c r="L164" t="s">
        <v>73</v>
      </c>
      <c r="M164" t="s">
        <v>27</v>
      </c>
      <c r="N164" t="s">
        <v>62</v>
      </c>
      <c r="O164" t="s">
        <v>46</v>
      </c>
      <c r="P164" t="s">
        <v>38</v>
      </c>
      <c r="Q164">
        <v>7.8</v>
      </c>
      <c r="R164">
        <v>3</v>
      </c>
    </row>
    <row r="165" spans="1:18" x14ac:dyDescent="0.3">
      <c r="A165" t="s">
        <v>508</v>
      </c>
      <c r="B165" t="s">
        <v>70</v>
      </c>
      <c r="C165" t="s">
        <v>20</v>
      </c>
      <c r="D165" t="s">
        <v>93</v>
      </c>
      <c r="E165" t="s">
        <v>509</v>
      </c>
      <c r="F165">
        <v>2025</v>
      </c>
      <c r="G165" t="s">
        <v>510</v>
      </c>
      <c r="H165" t="s">
        <v>24</v>
      </c>
      <c r="I165" t="s">
        <v>61</v>
      </c>
      <c r="J165">
        <v>8.9</v>
      </c>
      <c r="K165">
        <v>31317</v>
      </c>
      <c r="L165" t="s">
        <v>101</v>
      </c>
      <c r="M165" t="s">
        <v>37</v>
      </c>
      <c r="N165" t="s">
        <v>55</v>
      </c>
      <c r="O165" t="s">
        <v>46</v>
      </c>
      <c r="P165" t="s">
        <v>74</v>
      </c>
      <c r="Q165">
        <v>9.1999999999999993</v>
      </c>
      <c r="R165">
        <v>1</v>
      </c>
    </row>
    <row r="166" spans="1:18" x14ac:dyDescent="0.3">
      <c r="A166" t="s">
        <v>511</v>
      </c>
      <c r="B166" t="s">
        <v>40</v>
      </c>
      <c r="C166" t="s">
        <v>64</v>
      </c>
      <c r="D166" t="s">
        <v>65</v>
      </c>
      <c r="E166" t="s">
        <v>512</v>
      </c>
      <c r="F166">
        <v>2022</v>
      </c>
      <c r="G166" t="s">
        <v>295</v>
      </c>
      <c r="H166" t="s">
        <v>35</v>
      </c>
      <c r="I166" t="s">
        <v>44</v>
      </c>
      <c r="J166">
        <v>9.6999999999999993</v>
      </c>
      <c r="K166">
        <v>36114</v>
      </c>
      <c r="L166" t="s">
        <v>101</v>
      </c>
      <c r="M166" t="s">
        <v>37</v>
      </c>
      <c r="N166" t="s">
        <v>28</v>
      </c>
      <c r="O166" t="s">
        <v>46</v>
      </c>
      <c r="P166" t="s">
        <v>30</v>
      </c>
      <c r="Q166">
        <v>1.1000000000000001</v>
      </c>
      <c r="R166">
        <v>4</v>
      </c>
    </row>
    <row r="167" spans="1:18" x14ac:dyDescent="0.3">
      <c r="A167" t="s">
        <v>513</v>
      </c>
      <c r="B167" t="s">
        <v>40</v>
      </c>
      <c r="C167" t="s">
        <v>32</v>
      </c>
      <c r="D167" t="s">
        <v>93</v>
      </c>
      <c r="E167" t="s">
        <v>514</v>
      </c>
      <c r="F167">
        <v>2022</v>
      </c>
      <c r="G167" t="s">
        <v>91</v>
      </c>
      <c r="H167" t="s">
        <v>24</v>
      </c>
      <c r="I167" t="s">
        <v>53</v>
      </c>
      <c r="J167">
        <v>15.5</v>
      </c>
      <c r="K167">
        <v>30456</v>
      </c>
      <c r="L167" t="s">
        <v>26</v>
      </c>
      <c r="M167" t="s">
        <v>54</v>
      </c>
      <c r="N167" t="s">
        <v>62</v>
      </c>
      <c r="O167" t="s">
        <v>46</v>
      </c>
      <c r="P167" t="s">
        <v>47</v>
      </c>
      <c r="Q167">
        <v>1.4</v>
      </c>
      <c r="R167">
        <v>4</v>
      </c>
    </row>
    <row r="168" spans="1:18" x14ac:dyDescent="0.3">
      <c r="A168" t="s">
        <v>515</v>
      </c>
      <c r="B168" t="s">
        <v>19</v>
      </c>
      <c r="C168" t="s">
        <v>76</v>
      </c>
      <c r="D168" t="s">
        <v>21</v>
      </c>
      <c r="E168" t="s">
        <v>516</v>
      </c>
      <c r="F168">
        <v>2022</v>
      </c>
      <c r="G168" t="s">
        <v>264</v>
      </c>
      <c r="H168" t="s">
        <v>35</v>
      </c>
      <c r="I168" t="s">
        <v>85</v>
      </c>
      <c r="J168">
        <v>10.4</v>
      </c>
      <c r="K168">
        <v>38121</v>
      </c>
      <c r="L168" t="s">
        <v>36</v>
      </c>
      <c r="M168" t="s">
        <v>37</v>
      </c>
      <c r="N168" t="s">
        <v>62</v>
      </c>
      <c r="O168" t="s">
        <v>29</v>
      </c>
      <c r="P168" t="s">
        <v>47</v>
      </c>
      <c r="Q168">
        <v>2.9</v>
      </c>
      <c r="R168">
        <v>4</v>
      </c>
    </row>
    <row r="169" spans="1:18" x14ac:dyDescent="0.3">
      <c r="A169" t="s">
        <v>517</v>
      </c>
      <c r="B169" t="s">
        <v>40</v>
      </c>
      <c r="C169" t="s">
        <v>32</v>
      </c>
      <c r="D169" t="s">
        <v>41</v>
      </c>
      <c r="E169" t="s">
        <v>518</v>
      </c>
      <c r="F169">
        <v>2014</v>
      </c>
      <c r="G169" t="s">
        <v>315</v>
      </c>
      <c r="H169" t="s">
        <v>24</v>
      </c>
      <c r="I169" t="s">
        <v>53</v>
      </c>
      <c r="J169">
        <v>12.8</v>
      </c>
      <c r="K169">
        <v>36965</v>
      </c>
      <c r="L169" t="s">
        <v>26</v>
      </c>
      <c r="M169" t="s">
        <v>80</v>
      </c>
      <c r="N169" t="s">
        <v>55</v>
      </c>
      <c r="O169" t="s">
        <v>29</v>
      </c>
      <c r="P169" t="s">
        <v>86</v>
      </c>
      <c r="Q169">
        <v>4.4000000000000004</v>
      </c>
      <c r="R169">
        <v>12</v>
      </c>
    </row>
    <row r="170" spans="1:18" x14ac:dyDescent="0.3">
      <c r="A170" t="s">
        <v>519</v>
      </c>
      <c r="B170" t="s">
        <v>58</v>
      </c>
      <c r="C170" t="s">
        <v>20</v>
      </c>
      <c r="D170" t="s">
        <v>82</v>
      </c>
      <c r="E170" t="s">
        <v>520</v>
      </c>
      <c r="F170">
        <v>2016</v>
      </c>
      <c r="G170" t="s">
        <v>438</v>
      </c>
      <c r="H170" t="s">
        <v>24</v>
      </c>
      <c r="I170" t="s">
        <v>85</v>
      </c>
      <c r="J170">
        <v>7.1</v>
      </c>
      <c r="K170">
        <v>44871</v>
      </c>
      <c r="L170" t="s">
        <v>45</v>
      </c>
      <c r="M170" t="s">
        <v>54</v>
      </c>
      <c r="N170" t="s">
        <v>62</v>
      </c>
      <c r="O170" t="s">
        <v>118</v>
      </c>
      <c r="P170" t="s">
        <v>30</v>
      </c>
      <c r="Q170">
        <v>2.2000000000000002</v>
      </c>
      <c r="R170">
        <v>10</v>
      </c>
    </row>
    <row r="171" spans="1:18" x14ac:dyDescent="0.3">
      <c r="A171" t="s">
        <v>521</v>
      </c>
      <c r="B171" t="s">
        <v>49</v>
      </c>
      <c r="C171" t="s">
        <v>64</v>
      </c>
      <c r="D171" t="s">
        <v>65</v>
      </c>
      <c r="E171" t="s">
        <v>522</v>
      </c>
      <c r="F171">
        <v>2022</v>
      </c>
      <c r="G171" t="s">
        <v>523</v>
      </c>
      <c r="H171" t="s">
        <v>96</v>
      </c>
      <c r="I171" t="s">
        <v>44</v>
      </c>
      <c r="J171">
        <v>13.7</v>
      </c>
      <c r="K171">
        <v>21053</v>
      </c>
      <c r="L171" t="s">
        <v>36</v>
      </c>
      <c r="M171" t="s">
        <v>27</v>
      </c>
      <c r="N171" t="s">
        <v>62</v>
      </c>
      <c r="O171" t="s">
        <v>118</v>
      </c>
      <c r="P171" t="s">
        <v>56</v>
      </c>
      <c r="Q171">
        <v>2.9</v>
      </c>
      <c r="R171">
        <v>4</v>
      </c>
    </row>
    <row r="172" spans="1:18" x14ac:dyDescent="0.3">
      <c r="A172" t="s">
        <v>524</v>
      </c>
      <c r="B172" t="s">
        <v>70</v>
      </c>
      <c r="C172" t="s">
        <v>64</v>
      </c>
      <c r="D172" t="s">
        <v>65</v>
      </c>
      <c r="E172" t="s">
        <v>525</v>
      </c>
      <c r="F172">
        <v>2019</v>
      </c>
      <c r="G172" t="s">
        <v>43</v>
      </c>
      <c r="H172" t="s">
        <v>35</v>
      </c>
      <c r="I172" t="s">
        <v>44</v>
      </c>
      <c r="J172">
        <v>14.7</v>
      </c>
      <c r="K172">
        <v>28975</v>
      </c>
      <c r="L172" t="s">
        <v>45</v>
      </c>
      <c r="M172" t="s">
        <v>80</v>
      </c>
      <c r="N172" t="s">
        <v>28</v>
      </c>
      <c r="O172" t="s">
        <v>29</v>
      </c>
      <c r="P172" t="s">
        <v>30</v>
      </c>
      <c r="Q172">
        <v>1.5</v>
      </c>
      <c r="R172">
        <v>7</v>
      </c>
    </row>
    <row r="173" spans="1:18" x14ac:dyDescent="0.3">
      <c r="A173" t="s">
        <v>526</v>
      </c>
      <c r="B173" t="s">
        <v>49</v>
      </c>
      <c r="C173" t="s">
        <v>112</v>
      </c>
      <c r="D173" t="s">
        <v>21</v>
      </c>
      <c r="E173" t="s">
        <v>527</v>
      </c>
      <c r="F173">
        <v>2014</v>
      </c>
      <c r="G173" t="s">
        <v>264</v>
      </c>
      <c r="H173" t="s">
        <v>35</v>
      </c>
      <c r="I173" t="s">
        <v>85</v>
      </c>
      <c r="J173">
        <v>8.1999999999999993</v>
      </c>
      <c r="K173">
        <v>36873</v>
      </c>
      <c r="L173" t="s">
        <v>73</v>
      </c>
      <c r="M173" t="s">
        <v>80</v>
      </c>
      <c r="N173" t="s">
        <v>28</v>
      </c>
      <c r="O173" t="s">
        <v>46</v>
      </c>
      <c r="P173" t="s">
        <v>86</v>
      </c>
      <c r="Q173">
        <v>2.7</v>
      </c>
      <c r="R173">
        <v>12</v>
      </c>
    </row>
    <row r="174" spans="1:18" x14ac:dyDescent="0.3">
      <c r="A174" t="s">
        <v>528</v>
      </c>
      <c r="B174" t="s">
        <v>70</v>
      </c>
      <c r="C174" t="s">
        <v>32</v>
      </c>
      <c r="D174" t="s">
        <v>93</v>
      </c>
      <c r="E174" t="s">
        <v>529</v>
      </c>
      <c r="F174">
        <v>2025</v>
      </c>
      <c r="G174" t="s">
        <v>244</v>
      </c>
      <c r="H174" t="s">
        <v>35</v>
      </c>
      <c r="I174" t="s">
        <v>53</v>
      </c>
      <c r="J174">
        <v>4.5999999999999996</v>
      </c>
      <c r="K174">
        <v>10888</v>
      </c>
      <c r="L174" t="s">
        <v>101</v>
      </c>
      <c r="M174" t="s">
        <v>54</v>
      </c>
      <c r="N174" t="s">
        <v>55</v>
      </c>
      <c r="O174" t="s">
        <v>118</v>
      </c>
      <c r="P174" t="s">
        <v>86</v>
      </c>
      <c r="Q174">
        <v>1.1000000000000001</v>
      </c>
      <c r="R174">
        <v>1</v>
      </c>
    </row>
    <row r="175" spans="1:18" x14ac:dyDescent="0.3">
      <c r="A175" t="s">
        <v>530</v>
      </c>
      <c r="B175" t="s">
        <v>40</v>
      </c>
      <c r="C175" t="s">
        <v>76</v>
      </c>
      <c r="D175" t="s">
        <v>93</v>
      </c>
      <c r="E175" t="s">
        <v>531</v>
      </c>
      <c r="F175">
        <v>2023</v>
      </c>
      <c r="G175" t="s">
        <v>532</v>
      </c>
      <c r="H175" t="s">
        <v>24</v>
      </c>
      <c r="I175" t="s">
        <v>53</v>
      </c>
      <c r="J175">
        <v>17</v>
      </c>
      <c r="K175">
        <v>26479</v>
      </c>
      <c r="L175" t="s">
        <v>45</v>
      </c>
      <c r="M175" t="s">
        <v>37</v>
      </c>
      <c r="N175" t="s">
        <v>62</v>
      </c>
      <c r="O175" t="s">
        <v>118</v>
      </c>
      <c r="P175" t="s">
        <v>47</v>
      </c>
      <c r="Q175">
        <v>1.9</v>
      </c>
      <c r="R175">
        <v>3</v>
      </c>
    </row>
    <row r="176" spans="1:18" x14ac:dyDescent="0.3">
      <c r="A176" t="s">
        <v>533</v>
      </c>
      <c r="B176" t="s">
        <v>49</v>
      </c>
      <c r="C176" t="s">
        <v>76</v>
      </c>
      <c r="D176" t="s">
        <v>21</v>
      </c>
      <c r="E176" t="s">
        <v>534</v>
      </c>
      <c r="F176">
        <v>2020</v>
      </c>
      <c r="G176" t="s">
        <v>220</v>
      </c>
      <c r="H176" t="s">
        <v>35</v>
      </c>
      <c r="I176" t="s">
        <v>53</v>
      </c>
      <c r="J176">
        <v>15.5</v>
      </c>
      <c r="K176">
        <v>10960</v>
      </c>
      <c r="L176" t="s">
        <v>36</v>
      </c>
      <c r="M176" t="s">
        <v>80</v>
      </c>
      <c r="N176" t="s">
        <v>62</v>
      </c>
      <c r="O176" t="s">
        <v>118</v>
      </c>
      <c r="P176" t="s">
        <v>47</v>
      </c>
      <c r="Q176">
        <v>5.8</v>
      </c>
      <c r="R176">
        <v>6</v>
      </c>
    </row>
    <row r="177" spans="1:18" x14ac:dyDescent="0.3">
      <c r="A177" t="s">
        <v>535</v>
      </c>
      <c r="B177" t="s">
        <v>40</v>
      </c>
      <c r="C177" t="s">
        <v>20</v>
      </c>
      <c r="D177" t="s">
        <v>21</v>
      </c>
      <c r="E177" t="s">
        <v>536</v>
      </c>
      <c r="F177">
        <v>2016</v>
      </c>
      <c r="G177" t="s">
        <v>537</v>
      </c>
      <c r="H177" t="s">
        <v>24</v>
      </c>
      <c r="I177" t="s">
        <v>44</v>
      </c>
      <c r="J177">
        <v>16.600000000000001</v>
      </c>
      <c r="K177">
        <v>25818</v>
      </c>
      <c r="L177" t="s">
        <v>26</v>
      </c>
      <c r="M177" t="s">
        <v>54</v>
      </c>
      <c r="N177" t="s">
        <v>28</v>
      </c>
      <c r="O177" t="s">
        <v>118</v>
      </c>
      <c r="P177" t="s">
        <v>47</v>
      </c>
      <c r="Q177">
        <v>6.9</v>
      </c>
      <c r="R177">
        <v>10</v>
      </c>
    </row>
    <row r="178" spans="1:18" x14ac:dyDescent="0.3">
      <c r="A178" t="s">
        <v>538</v>
      </c>
      <c r="B178" t="s">
        <v>19</v>
      </c>
      <c r="C178" t="s">
        <v>64</v>
      </c>
      <c r="D178" t="s">
        <v>50</v>
      </c>
      <c r="E178" t="s">
        <v>539</v>
      </c>
      <c r="F178">
        <v>2023</v>
      </c>
      <c r="G178" t="s">
        <v>540</v>
      </c>
      <c r="H178" t="s">
        <v>35</v>
      </c>
      <c r="I178" t="s">
        <v>25</v>
      </c>
      <c r="J178">
        <v>12.3</v>
      </c>
      <c r="K178">
        <v>15722</v>
      </c>
      <c r="L178" t="s">
        <v>36</v>
      </c>
      <c r="M178" t="s">
        <v>54</v>
      </c>
      <c r="N178" t="s">
        <v>55</v>
      </c>
      <c r="O178" t="s">
        <v>118</v>
      </c>
      <c r="P178" t="s">
        <v>30</v>
      </c>
      <c r="Q178">
        <v>2.5</v>
      </c>
      <c r="R178">
        <v>3</v>
      </c>
    </row>
    <row r="179" spans="1:18" x14ac:dyDescent="0.3">
      <c r="A179" t="s">
        <v>541</v>
      </c>
      <c r="B179" t="s">
        <v>19</v>
      </c>
      <c r="C179" t="s">
        <v>76</v>
      </c>
      <c r="D179" t="s">
        <v>21</v>
      </c>
      <c r="E179" t="s">
        <v>542</v>
      </c>
      <c r="F179">
        <v>2017</v>
      </c>
      <c r="G179" t="s">
        <v>543</v>
      </c>
      <c r="H179" t="s">
        <v>35</v>
      </c>
      <c r="I179" t="s">
        <v>25</v>
      </c>
      <c r="J179">
        <v>4.0999999999999996</v>
      </c>
      <c r="K179">
        <v>17184</v>
      </c>
      <c r="L179" t="s">
        <v>45</v>
      </c>
      <c r="M179" t="s">
        <v>37</v>
      </c>
      <c r="N179" t="s">
        <v>55</v>
      </c>
      <c r="O179" t="s">
        <v>118</v>
      </c>
      <c r="P179" t="s">
        <v>47</v>
      </c>
      <c r="Q179">
        <v>5.6</v>
      </c>
      <c r="R179">
        <v>9</v>
      </c>
    </row>
    <row r="180" spans="1:18" x14ac:dyDescent="0.3">
      <c r="A180" t="s">
        <v>544</v>
      </c>
      <c r="B180" t="s">
        <v>70</v>
      </c>
      <c r="C180" t="s">
        <v>20</v>
      </c>
      <c r="D180" t="s">
        <v>93</v>
      </c>
      <c r="E180" t="s">
        <v>545</v>
      </c>
      <c r="F180">
        <v>2019</v>
      </c>
      <c r="G180" t="s">
        <v>546</v>
      </c>
      <c r="H180" t="s">
        <v>96</v>
      </c>
      <c r="I180" t="s">
        <v>85</v>
      </c>
      <c r="J180">
        <v>2.2000000000000002</v>
      </c>
      <c r="K180">
        <v>32268</v>
      </c>
      <c r="L180" t="s">
        <v>68</v>
      </c>
      <c r="M180" t="s">
        <v>54</v>
      </c>
      <c r="N180" t="s">
        <v>55</v>
      </c>
      <c r="O180" t="s">
        <v>118</v>
      </c>
      <c r="P180" t="s">
        <v>47</v>
      </c>
      <c r="Q180">
        <v>0.9</v>
      </c>
      <c r="R180">
        <v>7</v>
      </c>
    </row>
    <row r="181" spans="1:18" x14ac:dyDescent="0.3">
      <c r="A181" t="s">
        <v>547</v>
      </c>
      <c r="B181" t="s">
        <v>40</v>
      </c>
      <c r="C181" t="s">
        <v>112</v>
      </c>
      <c r="D181" t="s">
        <v>77</v>
      </c>
      <c r="E181" t="s">
        <v>548</v>
      </c>
      <c r="F181">
        <v>2017</v>
      </c>
      <c r="G181" t="s">
        <v>543</v>
      </c>
      <c r="H181" t="s">
        <v>35</v>
      </c>
      <c r="I181" t="s">
        <v>100</v>
      </c>
      <c r="J181">
        <v>10.6</v>
      </c>
      <c r="K181">
        <v>28866</v>
      </c>
      <c r="L181" t="s">
        <v>68</v>
      </c>
      <c r="M181" t="s">
        <v>54</v>
      </c>
      <c r="N181" t="s">
        <v>28</v>
      </c>
      <c r="O181" t="s">
        <v>118</v>
      </c>
      <c r="P181" t="s">
        <v>56</v>
      </c>
      <c r="Q181">
        <v>4.0999999999999996</v>
      </c>
      <c r="R181">
        <v>9</v>
      </c>
    </row>
    <row r="182" spans="1:18" x14ac:dyDescent="0.3">
      <c r="A182" t="s">
        <v>549</v>
      </c>
      <c r="B182" t="s">
        <v>49</v>
      </c>
      <c r="C182" t="s">
        <v>20</v>
      </c>
      <c r="D182" t="s">
        <v>77</v>
      </c>
      <c r="E182" t="s">
        <v>550</v>
      </c>
      <c r="F182">
        <v>2017</v>
      </c>
      <c r="G182" t="s">
        <v>259</v>
      </c>
      <c r="H182" t="s">
        <v>35</v>
      </c>
      <c r="I182" t="s">
        <v>85</v>
      </c>
      <c r="J182">
        <v>17.399999999999999</v>
      </c>
      <c r="K182">
        <v>43554</v>
      </c>
      <c r="L182" t="s">
        <v>101</v>
      </c>
      <c r="M182" t="s">
        <v>27</v>
      </c>
      <c r="N182" t="s">
        <v>55</v>
      </c>
      <c r="O182" t="s">
        <v>29</v>
      </c>
      <c r="P182" t="s">
        <v>38</v>
      </c>
      <c r="Q182">
        <v>8.1</v>
      </c>
      <c r="R182">
        <v>9</v>
      </c>
    </row>
    <row r="183" spans="1:18" x14ac:dyDescent="0.3">
      <c r="A183" t="s">
        <v>551</v>
      </c>
      <c r="B183" t="s">
        <v>49</v>
      </c>
      <c r="C183" t="s">
        <v>76</v>
      </c>
      <c r="D183" t="s">
        <v>21</v>
      </c>
      <c r="E183" t="s">
        <v>552</v>
      </c>
      <c r="F183">
        <v>2016</v>
      </c>
      <c r="G183" t="s">
        <v>395</v>
      </c>
      <c r="H183" t="s">
        <v>96</v>
      </c>
      <c r="I183" t="s">
        <v>100</v>
      </c>
      <c r="J183">
        <v>17.8</v>
      </c>
      <c r="K183">
        <v>5349</v>
      </c>
      <c r="L183" t="s">
        <v>45</v>
      </c>
      <c r="M183" t="s">
        <v>80</v>
      </c>
      <c r="N183" t="s">
        <v>28</v>
      </c>
      <c r="O183" t="s">
        <v>46</v>
      </c>
      <c r="P183" t="s">
        <v>30</v>
      </c>
      <c r="Q183">
        <v>7.8</v>
      </c>
      <c r="R183">
        <v>10</v>
      </c>
    </row>
    <row r="184" spans="1:18" x14ac:dyDescent="0.3">
      <c r="A184" t="s">
        <v>553</v>
      </c>
      <c r="B184" t="s">
        <v>40</v>
      </c>
      <c r="C184" t="s">
        <v>112</v>
      </c>
      <c r="D184" t="s">
        <v>65</v>
      </c>
      <c r="E184" t="s">
        <v>554</v>
      </c>
      <c r="F184">
        <v>2020</v>
      </c>
      <c r="G184" t="s">
        <v>395</v>
      </c>
      <c r="H184" t="s">
        <v>24</v>
      </c>
      <c r="I184" t="s">
        <v>61</v>
      </c>
      <c r="J184">
        <v>9.4</v>
      </c>
      <c r="K184">
        <v>25958</v>
      </c>
      <c r="L184" t="s">
        <v>26</v>
      </c>
      <c r="M184" t="s">
        <v>27</v>
      </c>
      <c r="N184" t="s">
        <v>62</v>
      </c>
      <c r="O184" t="s">
        <v>118</v>
      </c>
      <c r="P184" t="s">
        <v>30</v>
      </c>
      <c r="Q184">
        <v>0.6</v>
      </c>
      <c r="R184">
        <v>6</v>
      </c>
    </row>
    <row r="185" spans="1:18" x14ac:dyDescent="0.3">
      <c r="A185" t="s">
        <v>555</v>
      </c>
      <c r="B185" t="s">
        <v>19</v>
      </c>
      <c r="C185" t="s">
        <v>112</v>
      </c>
      <c r="D185" t="s">
        <v>93</v>
      </c>
      <c r="E185" t="s">
        <v>556</v>
      </c>
      <c r="F185">
        <v>2022</v>
      </c>
      <c r="G185" t="s">
        <v>557</v>
      </c>
      <c r="H185" t="s">
        <v>35</v>
      </c>
      <c r="I185" t="s">
        <v>100</v>
      </c>
      <c r="J185">
        <v>17.600000000000001</v>
      </c>
      <c r="K185">
        <v>2623</v>
      </c>
      <c r="L185" t="s">
        <v>45</v>
      </c>
      <c r="M185" t="s">
        <v>27</v>
      </c>
      <c r="N185" t="s">
        <v>28</v>
      </c>
      <c r="O185" t="s">
        <v>29</v>
      </c>
      <c r="P185" t="s">
        <v>30</v>
      </c>
      <c r="Q185">
        <v>5.5</v>
      </c>
      <c r="R185">
        <v>4</v>
      </c>
    </row>
    <row r="186" spans="1:18" x14ac:dyDescent="0.3">
      <c r="A186" t="s">
        <v>558</v>
      </c>
      <c r="B186" t="s">
        <v>49</v>
      </c>
      <c r="C186" t="s">
        <v>32</v>
      </c>
      <c r="D186" t="s">
        <v>77</v>
      </c>
      <c r="E186" t="s">
        <v>559</v>
      </c>
      <c r="F186">
        <v>2017</v>
      </c>
      <c r="G186" t="s">
        <v>560</v>
      </c>
      <c r="H186" t="s">
        <v>35</v>
      </c>
      <c r="I186" t="s">
        <v>53</v>
      </c>
      <c r="J186">
        <v>14.4</v>
      </c>
      <c r="K186">
        <v>6678</v>
      </c>
      <c r="L186" t="s">
        <v>68</v>
      </c>
      <c r="M186" t="s">
        <v>27</v>
      </c>
      <c r="N186" t="s">
        <v>55</v>
      </c>
      <c r="O186" t="s">
        <v>46</v>
      </c>
      <c r="P186" t="s">
        <v>56</v>
      </c>
      <c r="Q186">
        <v>9.9</v>
      </c>
      <c r="R186">
        <v>9</v>
      </c>
    </row>
    <row r="187" spans="1:18" x14ac:dyDescent="0.3">
      <c r="A187" t="s">
        <v>561</v>
      </c>
      <c r="B187" t="s">
        <v>19</v>
      </c>
      <c r="C187" t="s">
        <v>112</v>
      </c>
      <c r="D187" t="s">
        <v>41</v>
      </c>
      <c r="E187" t="s">
        <v>562</v>
      </c>
      <c r="F187">
        <v>2017</v>
      </c>
      <c r="G187" t="s">
        <v>186</v>
      </c>
      <c r="H187" t="s">
        <v>24</v>
      </c>
      <c r="I187" t="s">
        <v>85</v>
      </c>
      <c r="J187">
        <v>10.199999999999999</v>
      </c>
      <c r="K187">
        <v>5177</v>
      </c>
      <c r="L187" t="s">
        <v>101</v>
      </c>
      <c r="M187" t="s">
        <v>80</v>
      </c>
      <c r="N187" t="s">
        <v>62</v>
      </c>
      <c r="O187" t="s">
        <v>29</v>
      </c>
      <c r="P187" t="s">
        <v>30</v>
      </c>
      <c r="Q187">
        <v>5.2</v>
      </c>
      <c r="R187">
        <v>9</v>
      </c>
    </row>
    <row r="188" spans="1:18" x14ac:dyDescent="0.3">
      <c r="A188" t="s">
        <v>563</v>
      </c>
      <c r="B188" t="s">
        <v>70</v>
      </c>
      <c r="C188" t="s">
        <v>32</v>
      </c>
      <c r="D188" t="s">
        <v>50</v>
      </c>
      <c r="E188" t="s">
        <v>564</v>
      </c>
      <c r="F188">
        <v>2020</v>
      </c>
      <c r="G188" t="s">
        <v>565</v>
      </c>
      <c r="H188" t="s">
        <v>96</v>
      </c>
      <c r="I188" t="s">
        <v>100</v>
      </c>
      <c r="J188">
        <v>16.600000000000001</v>
      </c>
      <c r="K188">
        <v>16557</v>
      </c>
      <c r="L188" t="s">
        <v>73</v>
      </c>
      <c r="M188" t="s">
        <v>27</v>
      </c>
      <c r="N188" t="s">
        <v>55</v>
      </c>
      <c r="O188" t="s">
        <v>29</v>
      </c>
      <c r="P188" t="s">
        <v>30</v>
      </c>
      <c r="Q188">
        <v>7</v>
      </c>
      <c r="R188">
        <v>6</v>
      </c>
    </row>
    <row r="189" spans="1:18" x14ac:dyDescent="0.3">
      <c r="A189" t="s">
        <v>566</v>
      </c>
      <c r="B189" t="s">
        <v>49</v>
      </c>
      <c r="C189" t="s">
        <v>112</v>
      </c>
      <c r="D189" t="s">
        <v>21</v>
      </c>
      <c r="E189" t="s">
        <v>567</v>
      </c>
      <c r="F189">
        <v>2018</v>
      </c>
      <c r="G189" t="s">
        <v>568</v>
      </c>
      <c r="H189" t="s">
        <v>96</v>
      </c>
      <c r="I189" t="s">
        <v>53</v>
      </c>
      <c r="J189">
        <v>0.8</v>
      </c>
      <c r="K189">
        <v>15076</v>
      </c>
      <c r="L189" t="s">
        <v>45</v>
      </c>
      <c r="M189" t="s">
        <v>54</v>
      </c>
      <c r="N189" t="s">
        <v>62</v>
      </c>
      <c r="O189" t="s">
        <v>118</v>
      </c>
      <c r="P189" t="s">
        <v>30</v>
      </c>
      <c r="Q189">
        <v>3.3</v>
      </c>
      <c r="R189">
        <v>8</v>
      </c>
    </row>
    <row r="190" spans="1:18" x14ac:dyDescent="0.3">
      <c r="A190" t="s">
        <v>569</v>
      </c>
      <c r="B190" t="s">
        <v>49</v>
      </c>
      <c r="C190" t="s">
        <v>76</v>
      </c>
      <c r="D190" t="s">
        <v>65</v>
      </c>
      <c r="E190" t="s">
        <v>570</v>
      </c>
      <c r="F190">
        <v>2023</v>
      </c>
      <c r="G190" t="s">
        <v>95</v>
      </c>
      <c r="H190" t="s">
        <v>96</v>
      </c>
      <c r="I190" t="s">
        <v>53</v>
      </c>
      <c r="J190">
        <v>7.2</v>
      </c>
      <c r="K190">
        <v>10671</v>
      </c>
      <c r="L190" t="s">
        <v>101</v>
      </c>
      <c r="M190" t="s">
        <v>80</v>
      </c>
      <c r="N190" t="s">
        <v>62</v>
      </c>
      <c r="O190" t="s">
        <v>46</v>
      </c>
      <c r="P190" t="s">
        <v>86</v>
      </c>
      <c r="Q190">
        <v>1</v>
      </c>
      <c r="R190">
        <v>3</v>
      </c>
    </row>
    <row r="191" spans="1:18" x14ac:dyDescent="0.3">
      <c r="A191" t="s">
        <v>571</v>
      </c>
      <c r="B191" t="s">
        <v>19</v>
      </c>
      <c r="C191" t="s">
        <v>20</v>
      </c>
      <c r="D191" t="s">
        <v>93</v>
      </c>
      <c r="E191" t="s">
        <v>572</v>
      </c>
      <c r="F191">
        <v>2020</v>
      </c>
      <c r="G191" t="s">
        <v>573</v>
      </c>
      <c r="H191" t="s">
        <v>35</v>
      </c>
      <c r="I191" t="s">
        <v>100</v>
      </c>
      <c r="J191">
        <v>7.4</v>
      </c>
      <c r="K191">
        <v>22889</v>
      </c>
      <c r="L191" t="s">
        <v>26</v>
      </c>
      <c r="M191" t="s">
        <v>37</v>
      </c>
      <c r="N191" t="s">
        <v>55</v>
      </c>
      <c r="O191" t="s">
        <v>118</v>
      </c>
      <c r="P191" t="s">
        <v>56</v>
      </c>
      <c r="Q191">
        <v>3.9</v>
      </c>
      <c r="R191">
        <v>6</v>
      </c>
    </row>
    <row r="192" spans="1:18" x14ac:dyDescent="0.3">
      <c r="A192" t="s">
        <v>574</v>
      </c>
      <c r="B192" t="s">
        <v>40</v>
      </c>
      <c r="C192" t="s">
        <v>32</v>
      </c>
      <c r="D192" t="s">
        <v>65</v>
      </c>
      <c r="E192" t="s">
        <v>575</v>
      </c>
      <c r="F192">
        <v>2020</v>
      </c>
      <c r="G192" t="s">
        <v>441</v>
      </c>
      <c r="H192" t="s">
        <v>24</v>
      </c>
      <c r="I192" t="s">
        <v>100</v>
      </c>
      <c r="J192">
        <v>5.7</v>
      </c>
      <c r="K192">
        <v>17651</v>
      </c>
      <c r="L192" t="s">
        <v>101</v>
      </c>
      <c r="M192" t="s">
        <v>80</v>
      </c>
      <c r="N192" t="s">
        <v>28</v>
      </c>
      <c r="O192" t="s">
        <v>118</v>
      </c>
      <c r="P192" t="s">
        <v>56</v>
      </c>
      <c r="Q192">
        <v>4.0999999999999996</v>
      </c>
      <c r="R192">
        <v>6</v>
      </c>
    </row>
    <row r="193" spans="1:18" x14ac:dyDescent="0.3">
      <c r="A193" t="s">
        <v>576</v>
      </c>
      <c r="B193" t="s">
        <v>58</v>
      </c>
      <c r="C193" t="s">
        <v>20</v>
      </c>
      <c r="D193" t="s">
        <v>77</v>
      </c>
      <c r="E193" t="s">
        <v>577</v>
      </c>
      <c r="F193">
        <v>2024</v>
      </c>
      <c r="G193" t="s">
        <v>43</v>
      </c>
      <c r="H193" t="s">
        <v>24</v>
      </c>
      <c r="I193" t="s">
        <v>44</v>
      </c>
      <c r="J193">
        <v>17</v>
      </c>
      <c r="K193">
        <v>30646</v>
      </c>
      <c r="L193" t="s">
        <v>68</v>
      </c>
      <c r="M193" t="s">
        <v>37</v>
      </c>
      <c r="N193" t="s">
        <v>28</v>
      </c>
      <c r="O193" t="s">
        <v>29</v>
      </c>
      <c r="P193" t="s">
        <v>30</v>
      </c>
      <c r="Q193">
        <v>2.2999999999999998</v>
      </c>
      <c r="R193">
        <v>2</v>
      </c>
    </row>
    <row r="194" spans="1:18" x14ac:dyDescent="0.3">
      <c r="A194" t="s">
        <v>578</v>
      </c>
      <c r="B194" t="s">
        <v>49</v>
      </c>
      <c r="C194" t="s">
        <v>32</v>
      </c>
      <c r="D194" t="s">
        <v>82</v>
      </c>
      <c r="E194" t="s">
        <v>579</v>
      </c>
      <c r="F194">
        <v>2021</v>
      </c>
      <c r="G194" t="s">
        <v>580</v>
      </c>
      <c r="H194" t="s">
        <v>24</v>
      </c>
      <c r="I194" t="s">
        <v>44</v>
      </c>
      <c r="J194">
        <v>6.7</v>
      </c>
      <c r="K194">
        <v>7599</v>
      </c>
      <c r="L194" t="s">
        <v>45</v>
      </c>
      <c r="M194" t="s">
        <v>37</v>
      </c>
      <c r="N194" t="s">
        <v>55</v>
      </c>
      <c r="O194" t="s">
        <v>29</v>
      </c>
      <c r="P194" t="s">
        <v>86</v>
      </c>
      <c r="Q194">
        <v>4.4000000000000004</v>
      </c>
      <c r="R194">
        <v>5</v>
      </c>
    </row>
    <row r="195" spans="1:18" x14ac:dyDescent="0.3">
      <c r="A195" t="s">
        <v>581</v>
      </c>
      <c r="B195" t="s">
        <v>49</v>
      </c>
      <c r="C195" t="s">
        <v>64</v>
      </c>
      <c r="D195" t="s">
        <v>93</v>
      </c>
      <c r="E195" t="s">
        <v>582</v>
      </c>
      <c r="F195">
        <v>2015</v>
      </c>
      <c r="G195" t="s">
        <v>583</v>
      </c>
      <c r="H195" t="s">
        <v>35</v>
      </c>
      <c r="I195" t="s">
        <v>25</v>
      </c>
      <c r="J195">
        <v>7.2</v>
      </c>
      <c r="K195">
        <v>10599</v>
      </c>
      <c r="L195" t="s">
        <v>68</v>
      </c>
      <c r="M195" t="s">
        <v>37</v>
      </c>
      <c r="N195" t="s">
        <v>55</v>
      </c>
      <c r="O195" t="s">
        <v>118</v>
      </c>
      <c r="P195" t="s">
        <v>56</v>
      </c>
      <c r="Q195">
        <v>1.1000000000000001</v>
      </c>
      <c r="R195">
        <v>11</v>
      </c>
    </row>
    <row r="196" spans="1:18" x14ac:dyDescent="0.3">
      <c r="A196" t="s">
        <v>584</v>
      </c>
      <c r="B196" t="s">
        <v>58</v>
      </c>
      <c r="C196" t="s">
        <v>20</v>
      </c>
      <c r="D196" t="s">
        <v>82</v>
      </c>
      <c r="E196" t="s">
        <v>585</v>
      </c>
      <c r="F196">
        <v>2020</v>
      </c>
      <c r="G196" t="s">
        <v>586</v>
      </c>
      <c r="H196" t="s">
        <v>35</v>
      </c>
      <c r="I196" t="s">
        <v>53</v>
      </c>
      <c r="J196">
        <v>4.9000000000000004</v>
      </c>
      <c r="K196">
        <v>17660</v>
      </c>
      <c r="L196" t="s">
        <v>101</v>
      </c>
      <c r="M196" t="s">
        <v>27</v>
      </c>
      <c r="N196" t="s">
        <v>62</v>
      </c>
      <c r="O196" t="s">
        <v>46</v>
      </c>
      <c r="P196" t="s">
        <v>56</v>
      </c>
      <c r="Q196">
        <v>4.8</v>
      </c>
      <c r="R196">
        <v>6</v>
      </c>
    </row>
    <row r="197" spans="1:18" x14ac:dyDescent="0.3">
      <c r="A197" t="s">
        <v>587</v>
      </c>
      <c r="B197" t="s">
        <v>19</v>
      </c>
      <c r="C197" t="s">
        <v>76</v>
      </c>
      <c r="D197" t="s">
        <v>77</v>
      </c>
      <c r="E197" t="s">
        <v>588</v>
      </c>
      <c r="F197">
        <v>2016</v>
      </c>
      <c r="G197" t="s">
        <v>134</v>
      </c>
      <c r="H197" t="s">
        <v>35</v>
      </c>
      <c r="I197" t="s">
        <v>85</v>
      </c>
      <c r="J197">
        <v>14.6</v>
      </c>
      <c r="K197">
        <v>23096</v>
      </c>
      <c r="L197" t="s">
        <v>36</v>
      </c>
      <c r="M197" t="s">
        <v>37</v>
      </c>
      <c r="N197" t="s">
        <v>55</v>
      </c>
      <c r="O197" t="s">
        <v>46</v>
      </c>
      <c r="P197" t="s">
        <v>74</v>
      </c>
      <c r="Q197">
        <v>1.8</v>
      </c>
      <c r="R197">
        <v>10</v>
      </c>
    </row>
    <row r="198" spans="1:18" x14ac:dyDescent="0.3">
      <c r="A198" t="s">
        <v>589</v>
      </c>
      <c r="B198" t="s">
        <v>40</v>
      </c>
      <c r="C198" t="s">
        <v>76</v>
      </c>
      <c r="D198" t="s">
        <v>77</v>
      </c>
      <c r="E198" t="s">
        <v>590</v>
      </c>
      <c r="F198">
        <v>2019</v>
      </c>
      <c r="G198" t="s">
        <v>34</v>
      </c>
      <c r="H198" t="s">
        <v>24</v>
      </c>
      <c r="I198" t="s">
        <v>85</v>
      </c>
      <c r="J198">
        <v>17.5</v>
      </c>
      <c r="K198">
        <v>20600</v>
      </c>
      <c r="L198" t="s">
        <v>101</v>
      </c>
      <c r="M198" t="s">
        <v>27</v>
      </c>
      <c r="N198" t="s">
        <v>62</v>
      </c>
      <c r="O198" t="s">
        <v>29</v>
      </c>
      <c r="P198" t="s">
        <v>86</v>
      </c>
      <c r="Q198">
        <v>4.0999999999999996</v>
      </c>
      <c r="R198">
        <v>7</v>
      </c>
    </row>
    <row r="199" spans="1:18" x14ac:dyDescent="0.3">
      <c r="A199" t="s">
        <v>591</v>
      </c>
      <c r="B199" t="s">
        <v>19</v>
      </c>
      <c r="C199" t="s">
        <v>32</v>
      </c>
      <c r="D199" t="s">
        <v>21</v>
      </c>
      <c r="E199" t="s">
        <v>592</v>
      </c>
      <c r="F199">
        <v>2020</v>
      </c>
      <c r="G199" t="s">
        <v>424</v>
      </c>
      <c r="H199" t="s">
        <v>35</v>
      </c>
      <c r="I199" t="s">
        <v>100</v>
      </c>
      <c r="J199">
        <v>3.6</v>
      </c>
      <c r="K199">
        <v>37551</v>
      </c>
      <c r="L199" t="s">
        <v>26</v>
      </c>
      <c r="M199" t="s">
        <v>27</v>
      </c>
      <c r="N199" t="s">
        <v>62</v>
      </c>
      <c r="O199" t="s">
        <v>29</v>
      </c>
      <c r="P199" t="s">
        <v>47</v>
      </c>
      <c r="Q199">
        <v>8.1</v>
      </c>
      <c r="R199">
        <v>6</v>
      </c>
    </row>
    <row r="200" spans="1:18" x14ac:dyDescent="0.3">
      <c r="A200" t="s">
        <v>593</v>
      </c>
      <c r="B200" t="s">
        <v>58</v>
      </c>
      <c r="C200" t="s">
        <v>76</v>
      </c>
      <c r="D200" t="s">
        <v>21</v>
      </c>
      <c r="E200" t="s">
        <v>594</v>
      </c>
      <c r="F200">
        <v>2025</v>
      </c>
      <c r="G200" t="s">
        <v>107</v>
      </c>
      <c r="H200" t="s">
        <v>35</v>
      </c>
      <c r="I200" t="s">
        <v>61</v>
      </c>
      <c r="J200">
        <v>4.9000000000000004</v>
      </c>
      <c r="K200">
        <v>11601</v>
      </c>
      <c r="L200" t="s">
        <v>101</v>
      </c>
      <c r="M200" t="s">
        <v>27</v>
      </c>
      <c r="N200" t="s">
        <v>55</v>
      </c>
      <c r="O200" t="s">
        <v>29</v>
      </c>
      <c r="P200" t="s">
        <v>47</v>
      </c>
      <c r="Q200">
        <v>9.9</v>
      </c>
      <c r="R200">
        <v>1</v>
      </c>
    </row>
    <row r="201" spans="1:18" x14ac:dyDescent="0.3">
      <c r="A201" t="s">
        <v>595</v>
      </c>
      <c r="B201" t="s">
        <v>58</v>
      </c>
      <c r="C201" t="s">
        <v>32</v>
      </c>
      <c r="D201" t="s">
        <v>93</v>
      </c>
      <c r="E201" t="s">
        <v>596</v>
      </c>
      <c r="F201">
        <v>2021</v>
      </c>
      <c r="G201" t="s">
        <v>597</v>
      </c>
      <c r="H201" t="s">
        <v>96</v>
      </c>
      <c r="I201" t="s">
        <v>25</v>
      </c>
      <c r="J201">
        <v>7.8</v>
      </c>
      <c r="K201">
        <v>3909</v>
      </c>
      <c r="L201" t="s">
        <v>68</v>
      </c>
      <c r="M201" t="s">
        <v>80</v>
      </c>
      <c r="N201" t="s">
        <v>28</v>
      </c>
      <c r="O201" t="s">
        <v>29</v>
      </c>
      <c r="P201" t="s">
        <v>38</v>
      </c>
      <c r="Q201">
        <v>6.8</v>
      </c>
      <c r="R201">
        <v>5</v>
      </c>
    </row>
    <row r="202" spans="1:18" x14ac:dyDescent="0.3">
      <c r="A202" t="s">
        <v>598</v>
      </c>
      <c r="B202" t="s">
        <v>49</v>
      </c>
      <c r="C202" t="s">
        <v>112</v>
      </c>
      <c r="D202" t="s">
        <v>93</v>
      </c>
      <c r="E202" t="s">
        <v>599</v>
      </c>
      <c r="F202">
        <v>2016</v>
      </c>
      <c r="G202" t="s">
        <v>565</v>
      </c>
      <c r="H202" t="s">
        <v>96</v>
      </c>
      <c r="I202" t="s">
        <v>25</v>
      </c>
      <c r="J202">
        <v>11.8</v>
      </c>
      <c r="K202">
        <v>23231</v>
      </c>
      <c r="L202" t="s">
        <v>36</v>
      </c>
      <c r="M202" t="s">
        <v>80</v>
      </c>
      <c r="N202" t="s">
        <v>28</v>
      </c>
      <c r="O202" t="s">
        <v>29</v>
      </c>
      <c r="P202" t="s">
        <v>86</v>
      </c>
      <c r="Q202">
        <v>2.6</v>
      </c>
      <c r="R202">
        <v>10</v>
      </c>
    </row>
    <row r="203" spans="1:18" x14ac:dyDescent="0.3">
      <c r="A203" t="s">
        <v>600</v>
      </c>
      <c r="B203" t="s">
        <v>49</v>
      </c>
      <c r="C203" t="s">
        <v>32</v>
      </c>
      <c r="D203" t="s">
        <v>65</v>
      </c>
      <c r="E203" t="s">
        <v>601</v>
      </c>
      <c r="F203">
        <v>2025</v>
      </c>
      <c r="G203" t="s">
        <v>253</v>
      </c>
      <c r="H203" t="s">
        <v>35</v>
      </c>
      <c r="I203" t="s">
        <v>85</v>
      </c>
      <c r="J203">
        <v>7</v>
      </c>
      <c r="K203">
        <v>31847</v>
      </c>
      <c r="L203" t="s">
        <v>101</v>
      </c>
      <c r="M203" t="s">
        <v>54</v>
      </c>
      <c r="N203" t="s">
        <v>55</v>
      </c>
      <c r="O203" t="s">
        <v>29</v>
      </c>
      <c r="P203" t="s">
        <v>47</v>
      </c>
      <c r="Q203">
        <v>1.5</v>
      </c>
      <c r="R203">
        <v>1</v>
      </c>
    </row>
    <row r="204" spans="1:18" x14ac:dyDescent="0.3">
      <c r="A204" t="s">
        <v>602</v>
      </c>
      <c r="B204" t="s">
        <v>19</v>
      </c>
      <c r="C204" t="s">
        <v>64</v>
      </c>
      <c r="D204" t="s">
        <v>77</v>
      </c>
      <c r="E204" t="s">
        <v>603</v>
      </c>
      <c r="F204">
        <v>2020</v>
      </c>
      <c r="G204" t="s">
        <v>604</v>
      </c>
      <c r="H204" t="s">
        <v>24</v>
      </c>
      <c r="I204" t="s">
        <v>85</v>
      </c>
      <c r="J204">
        <v>14.2</v>
      </c>
      <c r="K204">
        <v>35651</v>
      </c>
      <c r="L204" t="s">
        <v>36</v>
      </c>
      <c r="M204" t="s">
        <v>37</v>
      </c>
      <c r="N204" t="s">
        <v>55</v>
      </c>
      <c r="O204" t="s">
        <v>29</v>
      </c>
      <c r="P204" t="s">
        <v>47</v>
      </c>
      <c r="Q204">
        <v>7.4</v>
      </c>
      <c r="R204">
        <v>6</v>
      </c>
    </row>
    <row r="205" spans="1:18" x14ac:dyDescent="0.3">
      <c r="A205" t="s">
        <v>605</v>
      </c>
      <c r="B205" t="s">
        <v>19</v>
      </c>
      <c r="C205" t="s">
        <v>20</v>
      </c>
      <c r="D205" t="s">
        <v>41</v>
      </c>
      <c r="E205" t="s">
        <v>606</v>
      </c>
      <c r="F205">
        <v>2021</v>
      </c>
      <c r="G205" t="s">
        <v>469</v>
      </c>
      <c r="H205" t="s">
        <v>35</v>
      </c>
      <c r="I205" t="s">
        <v>44</v>
      </c>
      <c r="J205">
        <v>0.9</v>
      </c>
      <c r="K205">
        <v>23983</v>
      </c>
      <c r="L205" t="s">
        <v>101</v>
      </c>
      <c r="M205" t="s">
        <v>80</v>
      </c>
      <c r="N205" t="s">
        <v>62</v>
      </c>
      <c r="O205" t="s">
        <v>29</v>
      </c>
      <c r="P205" t="s">
        <v>38</v>
      </c>
      <c r="Q205">
        <v>2.8</v>
      </c>
      <c r="R205">
        <v>5</v>
      </c>
    </row>
    <row r="206" spans="1:18" x14ac:dyDescent="0.3">
      <c r="A206" t="s">
        <v>607</v>
      </c>
      <c r="B206" t="s">
        <v>40</v>
      </c>
      <c r="C206" t="s">
        <v>20</v>
      </c>
      <c r="D206" t="s">
        <v>93</v>
      </c>
      <c r="E206" t="s">
        <v>608</v>
      </c>
      <c r="F206">
        <v>2016</v>
      </c>
      <c r="G206" t="s">
        <v>233</v>
      </c>
      <c r="H206" t="s">
        <v>24</v>
      </c>
      <c r="I206" t="s">
        <v>85</v>
      </c>
      <c r="J206">
        <v>4.5999999999999996</v>
      </c>
      <c r="K206">
        <v>28045</v>
      </c>
      <c r="L206" t="s">
        <v>101</v>
      </c>
      <c r="M206" t="s">
        <v>54</v>
      </c>
      <c r="N206" t="s">
        <v>28</v>
      </c>
      <c r="O206" t="s">
        <v>46</v>
      </c>
      <c r="P206" t="s">
        <v>38</v>
      </c>
      <c r="Q206">
        <v>4.5999999999999996</v>
      </c>
      <c r="R206">
        <v>10</v>
      </c>
    </row>
    <row r="207" spans="1:18" x14ac:dyDescent="0.3">
      <c r="A207" t="s">
        <v>609</v>
      </c>
      <c r="B207" t="s">
        <v>49</v>
      </c>
      <c r="C207" t="s">
        <v>64</v>
      </c>
      <c r="D207" t="s">
        <v>82</v>
      </c>
      <c r="E207" t="s">
        <v>610</v>
      </c>
      <c r="F207">
        <v>2014</v>
      </c>
      <c r="G207" t="s">
        <v>532</v>
      </c>
      <c r="H207" t="s">
        <v>35</v>
      </c>
      <c r="I207" t="s">
        <v>85</v>
      </c>
      <c r="J207">
        <v>0.6</v>
      </c>
      <c r="K207">
        <v>15576</v>
      </c>
      <c r="L207" t="s">
        <v>73</v>
      </c>
      <c r="M207" t="s">
        <v>37</v>
      </c>
      <c r="N207" t="s">
        <v>62</v>
      </c>
      <c r="O207" t="s">
        <v>29</v>
      </c>
      <c r="P207" t="s">
        <v>74</v>
      </c>
      <c r="Q207">
        <v>1.5</v>
      </c>
      <c r="R207">
        <v>12</v>
      </c>
    </row>
    <row r="208" spans="1:18" x14ac:dyDescent="0.3">
      <c r="A208" t="s">
        <v>611</v>
      </c>
      <c r="B208" t="s">
        <v>70</v>
      </c>
      <c r="C208" t="s">
        <v>20</v>
      </c>
      <c r="D208" t="s">
        <v>21</v>
      </c>
      <c r="E208" t="s">
        <v>612</v>
      </c>
      <c r="F208">
        <v>2022</v>
      </c>
      <c r="G208" t="s">
        <v>220</v>
      </c>
      <c r="H208" t="s">
        <v>24</v>
      </c>
      <c r="I208" t="s">
        <v>53</v>
      </c>
      <c r="J208">
        <v>12.2</v>
      </c>
      <c r="K208">
        <v>33578</v>
      </c>
      <c r="L208" t="s">
        <v>45</v>
      </c>
      <c r="M208" t="s">
        <v>37</v>
      </c>
      <c r="N208" t="s">
        <v>62</v>
      </c>
      <c r="O208" t="s">
        <v>118</v>
      </c>
      <c r="P208" t="s">
        <v>74</v>
      </c>
      <c r="Q208">
        <v>4.2</v>
      </c>
      <c r="R208">
        <v>4</v>
      </c>
    </row>
    <row r="209" spans="1:18" x14ac:dyDescent="0.3">
      <c r="A209" t="s">
        <v>613</v>
      </c>
      <c r="B209" t="s">
        <v>70</v>
      </c>
      <c r="C209" t="s">
        <v>76</v>
      </c>
      <c r="D209" t="s">
        <v>93</v>
      </c>
      <c r="E209" t="s">
        <v>614</v>
      </c>
      <c r="F209">
        <v>2015</v>
      </c>
      <c r="G209" t="s">
        <v>357</v>
      </c>
      <c r="H209" t="s">
        <v>24</v>
      </c>
      <c r="I209" t="s">
        <v>25</v>
      </c>
      <c r="J209">
        <v>12.9</v>
      </c>
      <c r="K209">
        <v>20993</v>
      </c>
      <c r="L209" t="s">
        <v>45</v>
      </c>
      <c r="M209" t="s">
        <v>80</v>
      </c>
      <c r="N209" t="s">
        <v>62</v>
      </c>
      <c r="O209" t="s">
        <v>29</v>
      </c>
      <c r="P209" t="s">
        <v>86</v>
      </c>
      <c r="Q209">
        <v>1.6</v>
      </c>
      <c r="R209">
        <v>11</v>
      </c>
    </row>
    <row r="210" spans="1:18" x14ac:dyDescent="0.3">
      <c r="A210" t="s">
        <v>615</v>
      </c>
      <c r="B210" t="s">
        <v>40</v>
      </c>
      <c r="C210" t="s">
        <v>20</v>
      </c>
      <c r="D210" t="s">
        <v>65</v>
      </c>
      <c r="E210" t="s">
        <v>616</v>
      </c>
      <c r="F210">
        <v>2018</v>
      </c>
      <c r="G210" t="s">
        <v>617</v>
      </c>
      <c r="H210" t="s">
        <v>24</v>
      </c>
      <c r="I210" t="s">
        <v>85</v>
      </c>
      <c r="J210">
        <v>7.8</v>
      </c>
      <c r="K210">
        <v>10535</v>
      </c>
      <c r="L210" t="s">
        <v>45</v>
      </c>
      <c r="M210" t="s">
        <v>27</v>
      </c>
      <c r="N210" t="s">
        <v>55</v>
      </c>
      <c r="O210" t="s">
        <v>29</v>
      </c>
      <c r="P210" t="s">
        <v>47</v>
      </c>
      <c r="Q210">
        <v>6.5</v>
      </c>
      <c r="R210">
        <v>8</v>
      </c>
    </row>
    <row r="211" spans="1:18" x14ac:dyDescent="0.3">
      <c r="A211" t="s">
        <v>618</v>
      </c>
      <c r="B211" t="s">
        <v>40</v>
      </c>
      <c r="C211" t="s">
        <v>32</v>
      </c>
      <c r="D211" t="s">
        <v>21</v>
      </c>
      <c r="E211" t="s">
        <v>619</v>
      </c>
      <c r="F211">
        <v>2025</v>
      </c>
      <c r="G211" t="s">
        <v>565</v>
      </c>
      <c r="H211" t="s">
        <v>24</v>
      </c>
      <c r="I211" t="s">
        <v>61</v>
      </c>
      <c r="J211">
        <v>3.8</v>
      </c>
      <c r="K211">
        <v>31056</v>
      </c>
      <c r="L211" t="s">
        <v>45</v>
      </c>
      <c r="M211" t="s">
        <v>80</v>
      </c>
      <c r="N211" t="s">
        <v>55</v>
      </c>
      <c r="O211" t="s">
        <v>29</v>
      </c>
      <c r="P211" t="s">
        <v>47</v>
      </c>
      <c r="Q211">
        <v>1.8</v>
      </c>
      <c r="R211">
        <v>1</v>
      </c>
    </row>
    <row r="212" spans="1:18" x14ac:dyDescent="0.3">
      <c r="A212" t="s">
        <v>620</v>
      </c>
      <c r="B212" t="s">
        <v>49</v>
      </c>
      <c r="C212" t="s">
        <v>76</v>
      </c>
      <c r="D212" t="s">
        <v>82</v>
      </c>
      <c r="E212" t="s">
        <v>621</v>
      </c>
      <c r="F212">
        <v>2020</v>
      </c>
      <c r="G212" t="s">
        <v>622</v>
      </c>
      <c r="H212" t="s">
        <v>35</v>
      </c>
      <c r="I212" t="s">
        <v>85</v>
      </c>
      <c r="J212">
        <v>12.9</v>
      </c>
      <c r="K212">
        <v>30588</v>
      </c>
      <c r="L212" t="s">
        <v>36</v>
      </c>
      <c r="M212" t="s">
        <v>54</v>
      </c>
      <c r="N212" t="s">
        <v>28</v>
      </c>
      <c r="O212" t="s">
        <v>46</v>
      </c>
      <c r="P212" t="s">
        <v>30</v>
      </c>
      <c r="Q212">
        <v>8.1</v>
      </c>
      <c r="R212">
        <v>6</v>
      </c>
    </row>
    <row r="213" spans="1:18" x14ac:dyDescent="0.3">
      <c r="A213" t="s">
        <v>623</v>
      </c>
      <c r="B213" t="s">
        <v>19</v>
      </c>
      <c r="C213" t="s">
        <v>20</v>
      </c>
      <c r="D213" t="s">
        <v>21</v>
      </c>
      <c r="E213" t="s">
        <v>624</v>
      </c>
      <c r="F213">
        <v>2017</v>
      </c>
      <c r="G213" t="s">
        <v>347</v>
      </c>
      <c r="H213" t="s">
        <v>35</v>
      </c>
      <c r="I213" t="s">
        <v>61</v>
      </c>
      <c r="J213">
        <v>14.2</v>
      </c>
      <c r="K213">
        <v>38570</v>
      </c>
      <c r="L213" t="s">
        <v>101</v>
      </c>
      <c r="M213" t="s">
        <v>27</v>
      </c>
      <c r="N213" t="s">
        <v>62</v>
      </c>
      <c r="O213" t="s">
        <v>46</v>
      </c>
      <c r="P213" t="s">
        <v>30</v>
      </c>
      <c r="Q213">
        <v>5.9</v>
      </c>
      <c r="R213">
        <v>9</v>
      </c>
    </row>
    <row r="214" spans="1:18" x14ac:dyDescent="0.3">
      <c r="A214" t="s">
        <v>625</v>
      </c>
      <c r="B214" t="s">
        <v>49</v>
      </c>
      <c r="C214" t="s">
        <v>20</v>
      </c>
      <c r="D214" t="s">
        <v>93</v>
      </c>
      <c r="E214" t="s">
        <v>626</v>
      </c>
      <c r="F214">
        <v>2018</v>
      </c>
      <c r="G214" t="s">
        <v>627</v>
      </c>
      <c r="H214" t="s">
        <v>35</v>
      </c>
      <c r="I214" t="s">
        <v>44</v>
      </c>
      <c r="J214">
        <v>13.8</v>
      </c>
      <c r="K214">
        <v>30425</v>
      </c>
      <c r="L214" t="s">
        <v>45</v>
      </c>
      <c r="M214" t="s">
        <v>54</v>
      </c>
      <c r="N214" t="s">
        <v>55</v>
      </c>
      <c r="O214" t="s">
        <v>29</v>
      </c>
      <c r="P214" t="s">
        <v>38</v>
      </c>
      <c r="Q214">
        <v>8.4</v>
      </c>
      <c r="R214">
        <v>8</v>
      </c>
    </row>
    <row r="215" spans="1:18" x14ac:dyDescent="0.3">
      <c r="A215" t="s">
        <v>628</v>
      </c>
      <c r="B215" t="s">
        <v>19</v>
      </c>
      <c r="C215" t="s">
        <v>76</v>
      </c>
      <c r="D215" t="s">
        <v>77</v>
      </c>
      <c r="E215" t="s">
        <v>629</v>
      </c>
      <c r="F215">
        <v>2017</v>
      </c>
      <c r="G215" t="s">
        <v>186</v>
      </c>
      <c r="H215" t="s">
        <v>24</v>
      </c>
      <c r="I215" t="s">
        <v>44</v>
      </c>
      <c r="J215">
        <v>8.1999999999999993</v>
      </c>
      <c r="K215">
        <v>9193</v>
      </c>
      <c r="L215" t="s">
        <v>73</v>
      </c>
      <c r="M215" t="s">
        <v>54</v>
      </c>
      <c r="N215" t="s">
        <v>62</v>
      </c>
      <c r="O215" t="s">
        <v>46</v>
      </c>
      <c r="P215" t="s">
        <v>38</v>
      </c>
      <c r="Q215">
        <v>3.8</v>
      </c>
      <c r="R215">
        <v>9</v>
      </c>
    </row>
    <row r="216" spans="1:18" x14ac:dyDescent="0.3">
      <c r="A216" t="s">
        <v>630</v>
      </c>
      <c r="B216" t="s">
        <v>58</v>
      </c>
      <c r="C216" t="s">
        <v>64</v>
      </c>
      <c r="D216" t="s">
        <v>93</v>
      </c>
      <c r="E216" t="s">
        <v>631</v>
      </c>
      <c r="F216">
        <v>2025</v>
      </c>
      <c r="G216" t="s">
        <v>632</v>
      </c>
      <c r="H216" t="s">
        <v>24</v>
      </c>
      <c r="I216" t="s">
        <v>61</v>
      </c>
      <c r="J216">
        <v>14.7</v>
      </c>
      <c r="K216">
        <v>5390</v>
      </c>
      <c r="L216" t="s">
        <v>45</v>
      </c>
      <c r="M216" t="s">
        <v>37</v>
      </c>
      <c r="N216" t="s">
        <v>62</v>
      </c>
      <c r="O216" t="s">
        <v>118</v>
      </c>
      <c r="P216" t="s">
        <v>74</v>
      </c>
      <c r="Q216">
        <v>5.6</v>
      </c>
      <c r="R216">
        <v>1</v>
      </c>
    </row>
    <row r="217" spans="1:18" x14ac:dyDescent="0.3">
      <c r="A217" t="s">
        <v>633</v>
      </c>
      <c r="B217" t="s">
        <v>70</v>
      </c>
      <c r="C217" t="s">
        <v>20</v>
      </c>
      <c r="D217" t="s">
        <v>93</v>
      </c>
      <c r="E217" t="s">
        <v>634</v>
      </c>
      <c r="F217">
        <v>2019</v>
      </c>
      <c r="G217" t="s">
        <v>635</v>
      </c>
      <c r="H217" t="s">
        <v>24</v>
      </c>
      <c r="I217" t="s">
        <v>100</v>
      </c>
      <c r="J217">
        <v>17.7</v>
      </c>
      <c r="K217">
        <v>7740</v>
      </c>
      <c r="L217" t="s">
        <v>73</v>
      </c>
      <c r="M217" t="s">
        <v>27</v>
      </c>
      <c r="N217" t="s">
        <v>28</v>
      </c>
      <c r="O217" t="s">
        <v>118</v>
      </c>
      <c r="P217" t="s">
        <v>38</v>
      </c>
      <c r="Q217">
        <v>1.7</v>
      </c>
      <c r="R217">
        <v>7</v>
      </c>
    </row>
    <row r="218" spans="1:18" x14ac:dyDescent="0.3">
      <c r="A218" t="s">
        <v>636</v>
      </c>
      <c r="B218" t="s">
        <v>40</v>
      </c>
      <c r="C218" t="s">
        <v>20</v>
      </c>
      <c r="D218" t="s">
        <v>50</v>
      </c>
      <c r="E218" t="s">
        <v>637</v>
      </c>
      <c r="F218">
        <v>2016</v>
      </c>
      <c r="G218" t="s">
        <v>174</v>
      </c>
      <c r="H218" t="s">
        <v>24</v>
      </c>
      <c r="I218" t="s">
        <v>25</v>
      </c>
      <c r="J218">
        <v>7.4</v>
      </c>
      <c r="K218">
        <v>10817</v>
      </c>
      <c r="L218" t="s">
        <v>45</v>
      </c>
      <c r="M218" t="s">
        <v>37</v>
      </c>
      <c r="N218" t="s">
        <v>62</v>
      </c>
      <c r="O218" t="s">
        <v>118</v>
      </c>
      <c r="P218" t="s">
        <v>47</v>
      </c>
      <c r="Q218">
        <v>4.8</v>
      </c>
      <c r="R218">
        <v>10</v>
      </c>
    </row>
    <row r="219" spans="1:18" x14ac:dyDescent="0.3">
      <c r="A219" t="s">
        <v>638</v>
      </c>
      <c r="B219" t="s">
        <v>19</v>
      </c>
      <c r="C219" t="s">
        <v>76</v>
      </c>
      <c r="D219" t="s">
        <v>93</v>
      </c>
      <c r="E219" t="s">
        <v>639</v>
      </c>
      <c r="F219">
        <v>2024</v>
      </c>
      <c r="G219" t="s">
        <v>640</v>
      </c>
      <c r="H219" t="s">
        <v>35</v>
      </c>
      <c r="I219" t="s">
        <v>25</v>
      </c>
      <c r="J219">
        <v>16.899999999999999</v>
      </c>
      <c r="K219">
        <v>25687</v>
      </c>
      <c r="L219" t="s">
        <v>36</v>
      </c>
      <c r="M219" t="s">
        <v>27</v>
      </c>
      <c r="N219" t="s">
        <v>55</v>
      </c>
      <c r="O219" t="s">
        <v>46</v>
      </c>
      <c r="P219" t="s">
        <v>30</v>
      </c>
      <c r="Q219">
        <v>8.8000000000000007</v>
      </c>
      <c r="R219">
        <v>2</v>
      </c>
    </row>
    <row r="220" spans="1:18" x14ac:dyDescent="0.3">
      <c r="A220" t="s">
        <v>641</v>
      </c>
      <c r="B220" t="s">
        <v>58</v>
      </c>
      <c r="C220" t="s">
        <v>20</v>
      </c>
      <c r="D220" t="s">
        <v>50</v>
      </c>
      <c r="E220" t="s">
        <v>642</v>
      </c>
      <c r="F220">
        <v>2025</v>
      </c>
      <c r="G220" t="s">
        <v>247</v>
      </c>
      <c r="H220" t="s">
        <v>24</v>
      </c>
      <c r="I220" t="s">
        <v>100</v>
      </c>
      <c r="J220">
        <v>7.5</v>
      </c>
      <c r="K220">
        <v>29657</v>
      </c>
      <c r="L220" t="s">
        <v>73</v>
      </c>
      <c r="M220" t="s">
        <v>27</v>
      </c>
      <c r="N220" t="s">
        <v>55</v>
      </c>
      <c r="O220" t="s">
        <v>118</v>
      </c>
      <c r="P220" t="s">
        <v>86</v>
      </c>
      <c r="Q220">
        <v>3.7</v>
      </c>
      <c r="R220">
        <v>1</v>
      </c>
    </row>
    <row r="221" spans="1:18" x14ac:dyDescent="0.3">
      <c r="A221" t="s">
        <v>643</v>
      </c>
      <c r="B221" t="s">
        <v>49</v>
      </c>
      <c r="C221" t="s">
        <v>76</v>
      </c>
      <c r="D221" t="s">
        <v>50</v>
      </c>
      <c r="E221" t="s">
        <v>644</v>
      </c>
      <c r="F221">
        <v>2023</v>
      </c>
      <c r="G221" t="s">
        <v>645</v>
      </c>
      <c r="H221" t="s">
        <v>24</v>
      </c>
      <c r="I221" t="s">
        <v>25</v>
      </c>
      <c r="J221">
        <v>13.8</v>
      </c>
      <c r="K221">
        <v>4510</v>
      </c>
      <c r="L221" t="s">
        <v>26</v>
      </c>
      <c r="M221" t="s">
        <v>27</v>
      </c>
      <c r="N221" t="s">
        <v>28</v>
      </c>
      <c r="O221" t="s">
        <v>29</v>
      </c>
      <c r="P221" t="s">
        <v>56</v>
      </c>
      <c r="Q221">
        <v>4.7</v>
      </c>
      <c r="R221">
        <v>3</v>
      </c>
    </row>
    <row r="222" spans="1:18" x14ac:dyDescent="0.3">
      <c r="A222" t="s">
        <v>646</v>
      </c>
      <c r="B222" t="s">
        <v>40</v>
      </c>
      <c r="C222" t="s">
        <v>64</v>
      </c>
      <c r="D222" t="s">
        <v>65</v>
      </c>
      <c r="E222" t="s">
        <v>647</v>
      </c>
      <c r="F222">
        <v>2014</v>
      </c>
      <c r="G222" t="s">
        <v>79</v>
      </c>
      <c r="H222" t="s">
        <v>24</v>
      </c>
      <c r="I222" t="s">
        <v>53</v>
      </c>
      <c r="J222">
        <v>2.1</v>
      </c>
      <c r="K222">
        <v>25121</v>
      </c>
      <c r="L222" t="s">
        <v>68</v>
      </c>
      <c r="M222" t="s">
        <v>80</v>
      </c>
      <c r="N222" t="s">
        <v>55</v>
      </c>
      <c r="O222" t="s">
        <v>46</v>
      </c>
      <c r="P222" t="s">
        <v>38</v>
      </c>
      <c r="Q222">
        <v>2.1</v>
      </c>
      <c r="R222">
        <v>12</v>
      </c>
    </row>
    <row r="223" spans="1:18" x14ac:dyDescent="0.3">
      <c r="A223" t="s">
        <v>648</v>
      </c>
      <c r="B223" t="s">
        <v>70</v>
      </c>
      <c r="C223" t="s">
        <v>64</v>
      </c>
      <c r="D223" t="s">
        <v>82</v>
      </c>
      <c r="E223" t="s">
        <v>649</v>
      </c>
      <c r="F223">
        <v>2020</v>
      </c>
      <c r="G223" t="s">
        <v>201</v>
      </c>
      <c r="H223" t="s">
        <v>35</v>
      </c>
      <c r="I223" t="s">
        <v>25</v>
      </c>
      <c r="J223">
        <v>2.2000000000000002</v>
      </c>
      <c r="K223">
        <v>15486</v>
      </c>
      <c r="L223" t="s">
        <v>36</v>
      </c>
      <c r="M223" t="s">
        <v>80</v>
      </c>
      <c r="N223" t="s">
        <v>28</v>
      </c>
      <c r="O223" t="s">
        <v>46</v>
      </c>
      <c r="P223" t="s">
        <v>56</v>
      </c>
      <c r="Q223">
        <v>5.4</v>
      </c>
      <c r="R223">
        <v>6</v>
      </c>
    </row>
    <row r="224" spans="1:18" x14ac:dyDescent="0.3">
      <c r="A224" t="s">
        <v>650</v>
      </c>
      <c r="B224" t="s">
        <v>19</v>
      </c>
      <c r="C224" t="s">
        <v>20</v>
      </c>
      <c r="D224" t="s">
        <v>50</v>
      </c>
      <c r="E224" t="s">
        <v>651</v>
      </c>
      <c r="F224">
        <v>2021</v>
      </c>
      <c r="G224" t="s">
        <v>507</v>
      </c>
      <c r="H224" t="s">
        <v>24</v>
      </c>
      <c r="I224" t="s">
        <v>85</v>
      </c>
      <c r="J224">
        <v>12.6</v>
      </c>
      <c r="K224">
        <v>32806</v>
      </c>
      <c r="L224" t="s">
        <v>26</v>
      </c>
      <c r="M224" t="s">
        <v>54</v>
      </c>
      <c r="N224" t="s">
        <v>55</v>
      </c>
      <c r="O224" t="s">
        <v>29</v>
      </c>
      <c r="P224" t="s">
        <v>38</v>
      </c>
      <c r="Q224">
        <v>8.1999999999999993</v>
      </c>
      <c r="R224">
        <v>5</v>
      </c>
    </row>
    <row r="225" spans="1:18" x14ac:dyDescent="0.3">
      <c r="A225" t="s">
        <v>652</v>
      </c>
      <c r="B225" t="s">
        <v>70</v>
      </c>
      <c r="C225" t="s">
        <v>20</v>
      </c>
      <c r="D225" t="s">
        <v>21</v>
      </c>
      <c r="E225" t="s">
        <v>653</v>
      </c>
      <c r="F225">
        <v>2015</v>
      </c>
      <c r="G225" t="s">
        <v>427</v>
      </c>
      <c r="H225" t="s">
        <v>24</v>
      </c>
      <c r="I225" t="s">
        <v>61</v>
      </c>
      <c r="J225">
        <v>11.7</v>
      </c>
      <c r="K225">
        <v>10862</v>
      </c>
      <c r="L225" t="s">
        <v>26</v>
      </c>
      <c r="M225" t="s">
        <v>80</v>
      </c>
      <c r="N225" t="s">
        <v>62</v>
      </c>
      <c r="O225" t="s">
        <v>46</v>
      </c>
      <c r="P225" t="s">
        <v>56</v>
      </c>
      <c r="Q225">
        <v>4.7</v>
      </c>
      <c r="R225">
        <v>11</v>
      </c>
    </row>
    <row r="226" spans="1:18" x14ac:dyDescent="0.3">
      <c r="A226" t="s">
        <v>654</v>
      </c>
      <c r="B226" t="s">
        <v>40</v>
      </c>
      <c r="C226" t="s">
        <v>76</v>
      </c>
      <c r="D226" t="s">
        <v>93</v>
      </c>
      <c r="E226" t="s">
        <v>655</v>
      </c>
      <c r="F226">
        <v>2025</v>
      </c>
      <c r="G226" t="s">
        <v>379</v>
      </c>
      <c r="H226" t="s">
        <v>35</v>
      </c>
      <c r="I226" t="s">
        <v>61</v>
      </c>
      <c r="J226">
        <v>2</v>
      </c>
      <c r="K226">
        <v>8084</v>
      </c>
      <c r="L226" t="s">
        <v>73</v>
      </c>
      <c r="M226" t="s">
        <v>80</v>
      </c>
      <c r="N226" t="s">
        <v>62</v>
      </c>
      <c r="O226" t="s">
        <v>46</v>
      </c>
      <c r="P226" t="s">
        <v>47</v>
      </c>
      <c r="Q226">
        <v>3.8</v>
      </c>
      <c r="R226">
        <v>1</v>
      </c>
    </row>
    <row r="227" spans="1:18" x14ac:dyDescent="0.3">
      <c r="A227" t="s">
        <v>656</v>
      </c>
      <c r="B227" t="s">
        <v>40</v>
      </c>
      <c r="C227" t="s">
        <v>64</v>
      </c>
      <c r="D227" t="s">
        <v>77</v>
      </c>
      <c r="E227" t="s">
        <v>657</v>
      </c>
      <c r="F227">
        <v>2020</v>
      </c>
      <c r="G227" t="s">
        <v>427</v>
      </c>
      <c r="H227" t="s">
        <v>35</v>
      </c>
      <c r="I227" t="s">
        <v>61</v>
      </c>
      <c r="J227">
        <v>10.199999999999999</v>
      </c>
      <c r="K227">
        <v>40822</v>
      </c>
      <c r="L227" t="s">
        <v>101</v>
      </c>
      <c r="M227" t="s">
        <v>37</v>
      </c>
      <c r="N227" t="s">
        <v>62</v>
      </c>
      <c r="O227" t="s">
        <v>29</v>
      </c>
      <c r="P227" t="s">
        <v>38</v>
      </c>
      <c r="Q227">
        <v>8.8000000000000007</v>
      </c>
      <c r="R227">
        <v>6</v>
      </c>
    </row>
    <row r="228" spans="1:18" x14ac:dyDescent="0.3">
      <c r="A228" t="s">
        <v>658</v>
      </c>
      <c r="B228" t="s">
        <v>49</v>
      </c>
      <c r="C228" t="s">
        <v>32</v>
      </c>
      <c r="D228" t="s">
        <v>21</v>
      </c>
      <c r="E228" t="s">
        <v>659</v>
      </c>
      <c r="F228">
        <v>2017</v>
      </c>
      <c r="G228" t="s">
        <v>253</v>
      </c>
      <c r="H228" t="s">
        <v>35</v>
      </c>
      <c r="I228" t="s">
        <v>53</v>
      </c>
      <c r="J228">
        <v>11.8</v>
      </c>
      <c r="K228">
        <v>17185</v>
      </c>
      <c r="L228" t="s">
        <v>36</v>
      </c>
      <c r="M228" t="s">
        <v>27</v>
      </c>
      <c r="N228" t="s">
        <v>28</v>
      </c>
      <c r="O228" t="s">
        <v>29</v>
      </c>
      <c r="P228" t="s">
        <v>47</v>
      </c>
      <c r="Q228">
        <v>6.6</v>
      </c>
      <c r="R228">
        <v>9</v>
      </c>
    </row>
    <row r="229" spans="1:18" x14ac:dyDescent="0.3">
      <c r="A229" t="s">
        <v>660</v>
      </c>
      <c r="B229" t="s">
        <v>19</v>
      </c>
      <c r="C229" t="s">
        <v>20</v>
      </c>
      <c r="D229" t="s">
        <v>77</v>
      </c>
      <c r="E229" t="s">
        <v>661</v>
      </c>
      <c r="F229">
        <v>2015</v>
      </c>
      <c r="G229" t="s">
        <v>662</v>
      </c>
      <c r="H229" t="s">
        <v>24</v>
      </c>
      <c r="I229" t="s">
        <v>100</v>
      </c>
      <c r="J229">
        <v>7.9</v>
      </c>
      <c r="K229">
        <v>37306</v>
      </c>
      <c r="L229" t="s">
        <v>101</v>
      </c>
      <c r="M229" t="s">
        <v>54</v>
      </c>
      <c r="N229" t="s">
        <v>55</v>
      </c>
      <c r="O229" t="s">
        <v>29</v>
      </c>
      <c r="P229" t="s">
        <v>30</v>
      </c>
      <c r="Q229">
        <v>6.1</v>
      </c>
      <c r="R229">
        <v>11</v>
      </c>
    </row>
    <row r="230" spans="1:18" x14ac:dyDescent="0.3">
      <c r="A230" t="s">
        <v>663</v>
      </c>
      <c r="B230" t="s">
        <v>40</v>
      </c>
      <c r="C230" t="s">
        <v>112</v>
      </c>
      <c r="D230" t="s">
        <v>41</v>
      </c>
      <c r="E230" t="s">
        <v>664</v>
      </c>
      <c r="F230">
        <v>2014</v>
      </c>
      <c r="G230" t="s">
        <v>99</v>
      </c>
      <c r="H230" t="s">
        <v>96</v>
      </c>
      <c r="I230" t="s">
        <v>85</v>
      </c>
      <c r="J230">
        <v>9.4</v>
      </c>
      <c r="K230">
        <v>42694</v>
      </c>
      <c r="L230" t="s">
        <v>101</v>
      </c>
      <c r="M230" t="s">
        <v>27</v>
      </c>
      <c r="N230" t="s">
        <v>55</v>
      </c>
      <c r="O230" t="s">
        <v>46</v>
      </c>
      <c r="P230" t="s">
        <v>47</v>
      </c>
      <c r="Q230">
        <v>1.3</v>
      </c>
      <c r="R230">
        <v>12</v>
      </c>
    </row>
    <row r="231" spans="1:18" x14ac:dyDescent="0.3">
      <c r="A231" t="s">
        <v>665</v>
      </c>
      <c r="B231" t="s">
        <v>49</v>
      </c>
      <c r="C231" t="s">
        <v>64</v>
      </c>
      <c r="D231" t="s">
        <v>77</v>
      </c>
      <c r="E231" t="s">
        <v>666</v>
      </c>
      <c r="F231">
        <v>2022</v>
      </c>
      <c r="G231" t="s">
        <v>667</v>
      </c>
      <c r="H231" t="s">
        <v>24</v>
      </c>
      <c r="I231" t="s">
        <v>44</v>
      </c>
      <c r="J231">
        <v>9.4</v>
      </c>
      <c r="K231">
        <v>14816</v>
      </c>
      <c r="L231" t="s">
        <v>73</v>
      </c>
      <c r="M231" t="s">
        <v>37</v>
      </c>
      <c r="N231" t="s">
        <v>55</v>
      </c>
      <c r="O231" t="s">
        <v>46</v>
      </c>
      <c r="P231" t="s">
        <v>38</v>
      </c>
      <c r="Q231">
        <v>7.8</v>
      </c>
      <c r="R231">
        <v>4</v>
      </c>
    </row>
    <row r="232" spans="1:18" x14ac:dyDescent="0.3">
      <c r="A232" t="s">
        <v>668</v>
      </c>
      <c r="B232" t="s">
        <v>19</v>
      </c>
      <c r="C232" t="s">
        <v>20</v>
      </c>
      <c r="D232" t="s">
        <v>65</v>
      </c>
      <c r="E232" t="s">
        <v>669</v>
      </c>
      <c r="F232">
        <v>2024</v>
      </c>
      <c r="G232" t="s">
        <v>670</v>
      </c>
      <c r="H232" t="s">
        <v>24</v>
      </c>
      <c r="I232" t="s">
        <v>61</v>
      </c>
      <c r="J232">
        <v>1.5</v>
      </c>
      <c r="K232">
        <v>7150</v>
      </c>
      <c r="L232" t="s">
        <v>36</v>
      </c>
      <c r="M232" t="s">
        <v>80</v>
      </c>
      <c r="N232" t="s">
        <v>55</v>
      </c>
      <c r="O232" t="s">
        <v>46</v>
      </c>
      <c r="P232" t="s">
        <v>74</v>
      </c>
      <c r="Q232">
        <v>1</v>
      </c>
      <c r="R232">
        <v>2</v>
      </c>
    </row>
    <row r="233" spans="1:18" x14ac:dyDescent="0.3">
      <c r="A233" t="s">
        <v>671</v>
      </c>
      <c r="B233" t="s">
        <v>40</v>
      </c>
      <c r="C233" t="s">
        <v>112</v>
      </c>
      <c r="D233" t="s">
        <v>41</v>
      </c>
      <c r="E233" t="s">
        <v>672</v>
      </c>
      <c r="F233">
        <v>2024</v>
      </c>
      <c r="G233" t="s">
        <v>543</v>
      </c>
      <c r="H233" t="s">
        <v>35</v>
      </c>
      <c r="I233" t="s">
        <v>25</v>
      </c>
      <c r="J233">
        <v>0.7</v>
      </c>
      <c r="K233">
        <v>34032</v>
      </c>
      <c r="L233" t="s">
        <v>68</v>
      </c>
      <c r="M233" t="s">
        <v>37</v>
      </c>
      <c r="N233" t="s">
        <v>28</v>
      </c>
      <c r="O233" t="s">
        <v>118</v>
      </c>
      <c r="P233" t="s">
        <v>56</v>
      </c>
      <c r="Q233">
        <v>7.6</v>
      </c>
      <c r="R233">
        <v>2</v>
      </c>
    </row>
    <row r="234" spans="1:18" x14ac:dyDescent="0.3">
      <c r="A234" t="s">
        <v>673</v>
      </c>
      <c r="B234" t="s">
        <v>19</v>
      </c>
      <c r="C234" t="s">
        <v>112</v>
      </c>
      <c r="D234" t="s">
        <v>77</v>
      </c>
      <c r="E234" t="s">
        <v>674</v>
      </c>
      <c r="F234">
        <v>2018</v>
      </c>
      <c r="G234" t="s">
        <v>675</v>
      </c>
      <c r="H234" t="s">
        <v>35</v>
      </c>
      <c r="I234" t="s">
        <v>53</v>
      </c>
      <c r="J234">
        <v>9.6999999999999993</v>
      </c>
      <c r="K234">
        <v>18732</v>
      </c>
      <c r="L234" t="s">
        <v>101</v>
      </c>
      <c r="M234" t="s">
        <v>80</v>
      </c>
      <c r="N234" t="s">
        <v>55</v>
      </c>
      <c r="O234" t="s">
        <v>118</v>
      </c>
      <c r="P234" t="s">
        <v>74</v>
      </c>
      <c r="Q234">
        <v>3.9</v>
      </c>
      <c r="R234">
        <v>8</v>
      </c>
    </row>
    <row r="235" spans="1:18" x14ac:dyDescent="0.3">
      <c r="A235" t="s">
        <v>676</v>
      </c>
      <c r="B235" t="s">
        <v>40</v>
      </c>
      <c r="C235" t="s">
        <v>20</v>
      </c>
      <c r="D235" t="s">
        <v>21</v>
      </c>
      <c r="E235" t="s">
        <v>677</v>
      </c>
      <c r="F235">
        <v>2021</v>
      </c>
      <c r="G235" t="s">
        <v>678</v>
      </c>
      <c r="H235" t="s">
        <v>24</v>
      </c>
      <c r="I235" t="s">
        <v>44</v>
      </c>
      <c r="J235">
        <v>16.100000000000001</v>
      </c>
      <c r="K235">
        <v>9058</v>
      </c>
      <c r="L235" t="s">
        <v>73</v>
      </c>
      <c r="M235" t="s">
        <v>80</v>
      </c>
      <c r="N235" t="s">
        <v>28</v>
      </c>
      <c r="O235" t="s">
        <v>29</v>
      </c>
      <c r="P235" t="s">
        <v>56</v>
      </c>
      <c r="Q235">
        <v>0.9</v>
      </c>
      <c r="R235">
        <v>5</v>
      </c>
    </row>
    <row r="236" spans="1:18" x14ac:dyDescent="0.3">
      <c r="A236" t="s">
        <v>679</v>
      </c>
      <c r="B236" t="s">
        <v>40</v>
      </c>
      <c r="C236" t="s">
        <v>64</v>
      </c>
      <c r="D236" t="s">
        <v>50</v>
      </c>
      <c r="E236" t="s">
        <v>680</v>
      </c>
      <c r="F236">
        <v>2019</v>
      </c>
      <c r="G236" t="s">
        <v>681</v>
      </c>
      <c r="H236" t="s">
        <v>24</v>
      </c>
      <c r="I236" t="s">
        <v>25</v>
      </c>
      <c r="J236">
        <v>13.5</v>
      </c>
      <c r="K236">
        <v>28983</v>
      </c>
      <c r="L236" t="s">
        <v>73</v>
      </c>
      <c r="M236" t="s">
        <v>37</v>
      </c>
      <c r="N236" t="s">
        <v>28</v>
      </c>
      <c r="O236" t="s">
        <v>118</v>
      </c>
      <c r="P236" t="s">
        <v>38</v>
      </c>
      <c r="Q236">
        <v>3.5</v>
      </c>
      <c r="R236">
        <v>7</v>
      </c>
    </row>
    <row r="237" spans="1:18" x14ac:dyDescent="0.3">
      <c r="A237" t="s">
        <v>682</v>
      </c>
      <c r="B237" t="s">
        <v>70</v>
      </c>
      <c r="C237" t="s">
        <v>112</v>
      </c>
      <c r="D237" t="s">
        <v>93</v>
      </c>
      <c r="E237" t="s">
        <v>683</v>
      </c>
      <c r="F237">
        <v>2015</v>
      </c>
      <c r="G237" t="s">
        <v>334</v>
      </c>
      <c r="H237" t="s">
        <v>35</v>
      </c>
      <c r="I237" t="s">
        <v>44</v>
      </c>
      <c r="J237">
        <v>3.6</v>
      </c>
      <c r="K237">
        <v>35301</v>
      </c>
      <c r="L237" t="s">
        <v>26</v>
      </c>
      <c r="M237" t="s">
        <v>27</v>
      </c>
      <c r="N237" t="s">
        <v>28</v>
      </c>
      <c r="O237" t="s">
        <v>118</v>
      </c>
      <c r="P237" t="s">
        <v>86</v>
      </c>
      <c r="Q237">
        <v>7.8</v>
      </c>
      <c r="R237">
        <v>11</v>
      </c>
    </row>
    <row r="238" spans="1:18" x14ac:dyDescent="0.3">
      <c r="A238" t="s">
        <v>684</v>
      </c>
      <c r="B238" t="s">
        <v>19</v>
      </c>
      <c r="C238" t="s">
        <v>32</v>
      </c>
      <c r="D238" t="s">
        <v>82</v>
      </c>
      <c r="E238" t="s">
        <v>685</v>
      </c>
      <c r="F238">
        <v>2018</v>
      </c>
      <c r="G238" t="s">
        <v>686</v>
      </c>
      <c r="H238" t="s">
        <v>24</v>
      </c>
      <c r="I238" t="s">
        <v>61</v>
      </c>
      <c r="J238">
        <v>5.6</v>
      </c>
      <c r="K238">
        <v>21417</v>
      </c>
      <c r="L238" t="s">
        <v>101</v>
      </c>
      <c r="M238" t="s">
        <v>54</v>
      </c>
      <c r="N238" t="s">
        <v>55</v>
      </c>
      <c r="O238" t="s">
        <v>118</v>
      </c>
      <c r="P238" t="s">
        <v>74</v>
      </c>
      <c r="Q238">
        <v>9.6999999999999993</v>
      </c>
      <c r="R238">
        <v>8</v>
      </c>
    </row>
    <row r="239" spans="1:18" x14ac:dyDescent="0.3">
      <c r="A239" t="s">
        <v>687</v>
      </c>
      <c r="B239" t="s">
        <v>49</v>
      </c>
      <c r="C239" t="s">
        <v>64</v>
      </c>
      <c r="D239" t="s">
        <v>21</v>
      </c>
      <c r="E239" t="s">
        <v>688</v>
      </c>
      <c r="F239">
        <v>2017</v>
      </c>
      <c r="G239" t="s">
        <v>675</v>
      </c>
      <c r="H239" t="s">
        <v>24</v>
      </c>
      <c r="I239" t="s">
        <v>85</v>
      </c>
      <c r="J239">
        <v>0.9</v>
      </c>
      <c r="K239">
        <v>36990</v>
      </c>
      <c r="L239" t="s">
        <v>68</v>
      </c>
      <c r="M239" t="s">
        <v>80</v>
      </c>
      <c r="N239" t="s">
        <v>55</v>
      </c>
      <c r="O239" t="s">
        <v>29</v>
      </c>
      <c r="P239" t="s">
        <v>38</v>
      </c>
      <c r="Q239">
        <v>4.0999999999999996</v>
      </c>
      <c r="R239">
        <v>9</v>
      </c>
    </row>
    <row r="240" spans="1:18" x14ac:dyDescent="0.3">
      <c r="A240" t="s">
        <v>689</v>
      </c>
      <c r="B240" t="s">
        <v>70</v>
      </c>
      <c r="C240" t="s">
        <v>112</v>
      </c>
      <c r="D240" t="s">
        <v>21</v>
      </c>
      <c r="E240" t="s">
        <v>690</v>
      </c>
      <c r="F240">
        <v>2025</v>
      </c>
      <c r="G240" t="s">
        <v>114</v>
      </c>
      <c r="H240" t="s">
        <v>35</v>
      </c>
      <c r="I240" t="s">
        <v>61</v>
      </c>
      <c r="J240">
        <v>7.8</v>
      </c>
      <c r="K240">
        <v>5425</v>
      </c>
      <c r="L240" t="s">
        <v>73</v>
      </c>
      <c r="M240" t="s">
        <v>37</v>
      </c>
      <c r="N240" t="s">
        <v>28</v>
      </c>
      <c r="O240" t="s">
        <v>29</v>
      </c>
      <c r="P240" t="s">
        <v>56</v>
      </c>
      <c r="Q240">
        <v>9</v>
      </c>
      <c r="R240">
        <v>1</v>
      </c>
    </row>
    <row r="241" spans="1:18" x14ac:dyDescent="0.3">
      <c r="A241" t="s">
        <v>691</v>
      </c>
      <c r="B241" t="s">
        <v>70</v>
      </c>
      <c r="C241" t="s">
        <v>76</v>
      </c>
      <c r="D241" t="s">
        <v>65</v>
      </c>
      <c r="E241" t="s">
        <v>692</v>
      </c>
      <c r="F241">
        <v>2022</v>
      </c>
      <c r="G241" t="s">
        <v>557</v>
      </c>
      <c r="H241" t="s">
        <v>24</v>
      </c>
      <c r="I241" t="s">
        <v>44</v>
      </c>
      <c r="J241">
        <v>9.3000000000000007</v>
      </c>
      <c r="K241">
        <v>43260</v>
      </c>
      <c r="L241" t="s">
        <v>36</v>
      </c>
      <c r="M241" t="s">
        <v>80</v>
      </c>
      <c r="N241" t="s">
        <v>62</v>
      </c>
      <c r="O241" t="s">
        <v>46</v>
      </c>
      <c r="P241" t="s">
        <v>30</v>
      </c>
      <c r="Q241">
        <v>4.5999999999999996</v>
      </c>
      <c r="R241">
        <v>4</v>
      </c>
    </row>
    <row r="242" spans="1:18" x14ac:dyDescent="0.3">
      <c r="A242" t="s">
        <v>693</v>
      </c>
      <c r="B242" t="s">
        <v>70</v>
      </c>
      <c r="C242" t="s">
        <v>20</v>
      </c>
      <c r="D242" t="s">
        <v>50</v>
      </c>
      <c r="E242" t="s">
        <v>694</v>
      </c>
      <c r="F242">
        <v>2016</v>
      </c>
      <c r="G242" t="s">
        <v>695</v>
      </c>
      <c r="H242" t="s">
        <v>24</v>
      </c>
      <c r="I242" t="s">
        <v>85</v>
      </c>
      <c r="J242">
        <v>12.8</v>
      </c>
      <c r="K242">
        <v>22881</v>
      </c>
      <c r="L242" t="s">
        <v>68</v>
      </c>
      <c r="M242" t="s">
        <v>27</v>
      </c>
      <c r="N242" t="s">
        <v>55</v>
      </c>
      <c r="O242" t="s">
        <v>29</v>
      </c>
      <c r="P242" t="s">
        <v>30</v>
      </c>
      <c r="Q242">
        <v>9.5</v>
      </c>
      <c r="R242">
        <v>10</v>
      </c>
    </row>
    <row r="243" spans="1:18" x14ac:dyDescent="0.3">
      <c r="A243" t="s">
        <v>696</v>
      </c>
      <c r="B243" t="s">
        <v>49</v>
      </c>
      <c r="C243" t="s">
        <v>112</v>
      </c>
      <c r="D243" t="s">
        <v>21</v>
      </c>
      <c r="E243" t="s">
        <v>697</v>
      </c>
      <c r="F243">
        <v>2016</v>
      </c>
      <c r="G243" t="s">
        <v>698</v>
      </c>
      <c r="H243" t="s">
        <v>24</v>
      </c>
      <c r="I243" t="s">
        <v>85</v>
      </c>
      <c r="J243">
        <v>8.6999999999999993</v>
      </c>
      <c r="K243">
        <v>28141</v>
      </c>
      <c r="L243" t="s">
        <v>26</v>
      </c>
      <c r="M243" t="s">
        <v>37</v>
      </c>
      <c r="N243" t="s">
        <v>28</v>
      </c>
      <c r="O243" t="s">
        <v>118</v>
      </c>
      <c r="P243" t="s">
        <v>86</v>
      </c>
      <c r="Q243">
        <v>4.9000000000000004</v>
      </c>
      <c r="R243">
        <v>10</v>
      </c>
    </row>
    <row r="244" spans="1:18" x14ac:dyDescent="0.3">
      <c r="A244" t="s">
        <v>699</v>
      </c>
      <c r="B244" t="s">
        <v>40</v>
      </c>
      <c r="C244" t="s">
        <v>20</v>
      </c>
      <c r="D244" t="s">
        <v>50</v>
      </c>
      <c r="E244" t="s">
        <v>700</v>
      </c>
      <c r="F244">
        <v>2015</v>
      </c>
      <c r="G244" t="s">
        <v>247</v>
      </c>
      <c r="H244" t="s">
        <v>35</v>
      </c>
      <c r="I244" t="s">
        <v>100</v>
      </c>
      <c r="J244">
        <v>1.2</v>
      </c>
      <c r="K244">
        <v>22982</v>
      </c>
      <c r="L244" t="s">
        <v>73</v>
      </c>
      <c r="M244" t="s">
        <v>80</v>
      </c>
      <c r="N244" t="s">
        <v>62</v>
      </c>
      <c r="O244" t="s">
        <v>29</v>
      </c>
      <c r="P244" t="s">
        <v>86</v>
      </c>
      <c r="Q244">
        <v>4.3</v>
      </c>
      <c r="R244">
        <v>11</v>
      </c>
    </row>
    <row r="245" spans="1:18" x14ac:dyDescent="0.3">
      <c r="A245" t="s">
        <v>701</v>
      </c>
      <c r="B245" t="s">
        <v>70</v>
      </c>
      <c r="C245" t="s">
        <v>20</v>
      </c>
      <c r="D245" t="s">
        <v>50</v>
      </c>
      <c r="E245" t="s">
        <v>702</v>
      </c>
      <c r="F245">
        <v>2014</v>
      </c>
      <c r="G245" t="s">
        <v>344</v>
      </c>
      <c r="H245" t="s">
        <v>96</v>
      </c>
      <c r="I245" t="s">
        <v>44</v>
      </c>
      <c r="J245">
        <v>17.2</v>
      </c>
      <c r="K245">
        <v>31135</v>
      </c>
      <c r="L245" t="s">
        <v>45</v>
      </c>
      <c r="M245" t="s">
        <v>54</v>
      </c>
      <c r="N245" t="s">
        <v>28</v>
      </c>
      <c r="O245" t="s">
        <v>118</v>
      </c>
      <c r="P245" t="s">
        <v>30</v>
      </c>
      <c r="Q245">
        <v>8.1</v>
      </c>
      <c r="R245">
        <v>12</v>
      </c>
    </row>
    <row r="246" spans="1:18" x14ac:dyDescent="0.3">
      <c r="A246" t="s">
        <v>703</v>
      </c>
      <c r="B246" t="s">
        <v>19</v>
      </c>
      <c r="C246" t="s">
        <v>112</v>
      </c>
      <c r="D246" t="s">
        <v>50</v>
      </c>
      <c r="E246" t="s">
        <v>704</v>
      </c>
      <c r="F246">
        <v>2016</v>
      </c>
      <c r="G246" t="s">
        <v>159</v>
      </c>
      <c r="H246" t="s">
        <v>35</v>
      </c>
      <c r="I246" t="s">
        <v>61</v>
      </c>
      <c r="J246">
        <v>2.8</v>
      </c>
      <c r="K246">
        <v>27752</v>
      </c>
      <c r="L246" t="s">
        <v>68</v>
      </c>
      <c r="M246" t="s">
        <v>80</v>
      </c>
      <c r="N246" t="s">
        <v>62</v>
      </c>
      <c r="O246" t="s">
        <v>46</v>
      </c>
      <c r="P246" t="s">
        <v>86</v>
      </c>
      <c r="Q246">
        <v>9.1999999999999993</v>
      </c>
      <c r="R246">
        <v>10</v>
      </c>
    </row>
    <row r="247" spans="1:18" x14ac:dyDescent="0.3">
      <c r="A247" t="s">
        <v>705</v>
      </c>
      <c r="B247" t="s">
        <v>19</v>
      </c>
      <c r="C247" t="s">
        <v>64</v>
      </c>
      <c r="D247" t="s">
        <v>65</v>
      </c>
      <c r="E247" t="s">
        <v>706</v>
      </c>
      <c r="F247">
        <v>2015</v>
      </c>
      <c r="G247" t="s">
        <v>352</v>
      </c>
      <c r="H247" t="s">
        <v>24</v>
      </c>
      <c r="I247" t="s">
        <v>61</v>
      </c>
      <c r="J247">
        <v>2.1</v>
      </c>
      <c r="K247">
        <v>23228</v>
      </c>
      <c r="L247" t="s">
        <v>26</v>
      </c>
      <c r="M247" t="s">
        <v>80</v>
      </c>
      <c r="N247" t="s">
        <v>55</v>
      </c>
      <c r="O247" t="s">
        <v>29</v>
      </c>
      <c r="P247" t="s">
        <v>56</v>
      </c>
      <c r="Q247">
        <v>9.3000000000000007</v>
      </c>
      <c r="R247">
        <v>11</v>
      </c>
    </row>
    <row r="248" spans="1:18" x14ac:dyDescent="0.3">
      <c r="A248" t="s">
        <v>707</v>
      </c>
      <c r="B248" t="s">
        <v>58</v>
      </c>
      <c r="C248" t="s">
        <v>76</v>
      </c>
      <c r="D248" t="s">
        <v>41</v>
      </c>
      <c r="E248" t="s">
        <v>708</v>
      </c>
      <c r="F248">
        <v>2020</v>
      </c>
      <c r="G248" t="s">
        <v>298</v>
      </c>
      <c r="H248" t="s">
        <v>24</v>
      </c>
      <c r="I248" t="s">
        <v>85</v>
      </c>
      <c r="J248">
        <v>3.5</v>
      </c>
      <c r="K248">
        <v>15571</v>
      </c>
      <c r="L248" t="s">
        <v>73</v>
      </c>
      <c r="M248" t="s">
        <v>37</v>
      </c>
      <c r="N248" t="s">
        <v>55</v>
      </c>
      <c r="O248" t="s">
        <v>118</v>
      </c>
      <c r="P248" t="s">
        <v>56</v>
      </c>
      <c r="Q248">
        <v>0.8</v>
      </c>
      <c r="R248">
        <v>6</v>
      </c>
    </row>
    <row r="249" spans="1:18" x14ac:dyDescent="0.3">
      <c r="A249" t="s">
        <v>709</v>
      </c>
      <c r="B249" t="s">
        <v>40</v>
      </c>
      <c r="C249" t="s">
        <v>20</v>
      </c>
      <c r="D249" t="s">
        <v>82</v>
      </c>
      <c r="E249" t="s">
        <v>710</v>
      </c>
      <c r="F249">
        <v>2023</v>
      </c>
      <c r="G249" t="s">
        <v>365</v>
      </c>
      <c r="H249" t="s">
        <v>24</v>
      </c>
      <c r="I249" t="s">
        <v>100</v>
      </c>
      <c r="J249">
        <v>8.9</v>
      </c>
      <c r="K249">
        <v>7248</v>
      </c>
      <c r="L249" t="s">
        <v>68</v>
      </c>
      <c r="M249" t="s">
        <v>27</v>
      </c>
      <c r="N249" t="s">
        <v>28</v>
      </c>
      <c r="O249" t="s">
        <v>118</v>
      </c>
      <c r="P249" t="s">
        <v>56</v>
      </c>
      <c r="Q249">
        <v>6.6</v>
      </c>
      <c r="R249">
        <v>3</v>
      </c>
    </row>
    <row r="250" spans="1:18" x14ac:dyDescent="0.3">
      <c r="A250" t="s">
        <v>711</v>
      </c>
      <c r="B250" t="s">
        <v>49</v>
      </c>
      <c r="C250" t="s">
        <v>112</v>
      </c>
      <c r="D250" t="s">
        <v>82</v>
      </c>
      <c r="E250" t="s">
        <v>712</v>
      </c>
      <c r="F250">
        <v>2022</v>
      </c>
      <c r="G250" t="s">
        <v>174</v>
      </c>
      <c r="H250" t="s">
        <v>35</v>
      </c>
      <c r="I250" t="s">
        <v>53</v>
      </c>
      <c r="J250">
        <v>8.9</v>
      </c>
      <c r="K250">
        <v>33263</v>
      </c>
      <c r="L250" t="s">
        <v>68</v>
      </c>
      <c r="M250" t="s">
        <v>37</v>
      </c>
      <c r="N250" t="s">
        <v>55</v>
      </c>
      <c r="O250" t="s">
        <v>118</v>
      </c>
      <c r="P250" t="s">
        <v>56</v>
      </c>
      <c r="Q250">
        <v>0.7</v>
      </c>
      <c r="R250">
        <v>4</v>
      </c>
    </row>
    <row r="251" spans="1:18" x14ac:dyDescent="0.3">
      <c r="A251" t="s">
        <v>713</v>
      </c>
      <c r="B251" t="s">
        <v>19</v>
      </c>
      <c r="C251" t="s">
        <v>20</v>
      </c>
      <c r="D251" t="s">
        <v>41</v>
      </c>
      <c r="E251" t="s">
        <v>714</v>
      </c>
      <c r="F251">
        <v>2023</v>
      </c>
      <c r="G251" t="s">
        <v>715</v>
      </c>
      <c r="H251" t="s">
        <v>35</v>
      </c>
      <c r="I251" t="s">
        <v>85</v>
      </c>
      <c r="J251">
        <v>9.8000000000000007</v>
      </c>
      <c r="K251">
        <v>39772</v>
      </c>
      <c r="L251" t="s">
        <v>73</v>
      </c>
      <c r="M251" t="s">
        <v>54</v>
      </c>
      <c r="N251" t="s">
        <v>28</v>
      </c>
      <c r="O251" t="s">
        <v>29</v>
      </c>
      <c r="P251" t="s">
        <v>38</v>
      </c>
      <c r="Q251">
        <v>2.8</v>
      </c>
      <c r="R251">
        <v>3</v>
      </c>
    </row>
    <row r="252" spans="1:18" x14ac:dyDescent="0.3">
      <c r="A252" t="s">
        <v>716</v>
      </c>
      <c r="B252" t="s">
        <v>19</v>
      </c>
      <c r="C252" t="s">
        <v>64</v>
      </c>
      <c r="D252" t="s">
        <v>93</v>
      </c>
      <c r="E252" t="s">
        <v>717</v>
      </c>
      <c r="F252">
        <v>2022</v>
      </c>
      <c r="G252" t="s">
        <v>250</v>
      </c>
      <c r="H252" t="s">
        <v>35</v>
      </c>
      <c r="I252" t="s">
        <v>85</v>
      </c>
      <c r="J252">
        <v>6.7</v>
      </c>
      <c r="K252">
        <v>12884</v>
      </c>
      <c r="L252" t="s">
        <v>73</v>
      </c>
      <c r="M252" t="s">
        <v>54</v>
      </c>
      <c r="N252" t="s">
        <v>62</v>
      </c>
      <c r="O252" t="s">
        <v>118</v>
      </c>
      <c r="P252" t="s">
        <v>38</v>
      </c>
      <c r="Q252">
        <v>7.1</v>
      </c>
      <c r="R252">
        <v>4</v>
      </c>
    </row>
    <row r="253" spans="1:18" x14ac:dyDescent="0.3">
      <c r="A253" t="s">
        <v>718</v>
      </c>
      <c r="B253" t="s">
        <v>70</v>
      </c>
      <c r="C253" t="s">
        <v>32</v>
      </c>
      <c r="D253" t="s">
        <v>93</v>
      </c>
      <c r="E253" t="s">
        <v>719</v>
      </c>
      <c r="F253">
        <v>2023</v>
      </c>
      <c r="G253" t="s">
        <v>720</v>
      </c>
      <c r="H253" t="s">
        <v>24</v>
      </c>
      <c r="I253" t="s">
        <v>61</v>
      </c>
      <c r="J253">
        <v>15.1</v>
      </c>
      <c r="K253">
        <v>33758</v>
      </c>
      <c r="L253" t="s">
        <v>45</v>
      </c>
      <c r="M253" t="s">
        <v>37</v>
      </c>
      <c r="N253" t="s">
        <v>28</v>
      </c>
      <c r="O253" t="s">
        <v>118</v>
      </c>
      <c r="P253" t="s">
        <v>30</v>
      </c>
      <c r="Q253">
        <v>1.4</v>
      </c>
      <c r="R253">
        <v>3</v>
      </c>
    </row>
    <row r="254" spans="1:18" x14ac:dyDescent="0.3">
      <c r="A254" t="s">
        <v>721</v>
      </c>
      <c r="B254" t="s">
        <v>40</v>
      </c>
      <c r="C254" t="s">
        <v>112</v>
      </c>
      <c r="D254" t="s">
        <v>93</v>
      </c>
      <c r="E254" t="s">
        <v>722</v>
      </c>
      <c r="F254">
        <v>2017</v>
      </c>
      <c r="G254" t="s">
        <v>34</v>
      </c>
      <c r="H254" t="s">
        <v>24</v>
      </c>
      <c r="I254" t="s">
        <v>53</v>
      </c>
      <c r="J254">
        <v>16.600000000000001</v>
      </c>
      <c r="K254">
        <v>14703</v>
      </c>
      <c r="L254" t="s">
        <v>73</v>
      </c>
      <c r="M254" t="s">
        <v>37</v>
      </c>
      <c r="N254" t="s">
        <v>62</v>
      </c>
      <c r="O254" t="s">
        <v>29</v>
      </c>
      <c r="P254" t="s">
        <v>86</v>
      </c>
      <c r="Q254">
        <v>1.1000000000000001</v>
      </c>
      <c r="R254">
        <v>9</v>
      </c>
    </row>
    <row r="255" spans="1:18" x14ac:dyDescent="0.3">
      <c r="A255" t="s">
        <v>723</v>
      </c>
      <c r="B255" t="s">
        <v>40</v>
      </c>
      <c r="C255" t="s">
        <v>112</v>
      </c>
      <c r="D255" t="s">
        <v>50</v>
      </c>
      <c r="E255" t="s">
        <v>724</v>
      </c>
      <c r="F255">
        <v>2016</v>
      </c>
      <c r="G255" t="s">
        <v>230</v>
      </c>
      <c r="H255" t="s">
        <v>35</v>
      </c>
      <c r="I255" t="s">
        <v>53</v>
      </c>
      <c r="J255">
        <v>17.3</v>
      </c>
      <c r="K255">
        <v>25983</v>
      </c>
      <c r="L255" t="s">
        <v>101</v>
      </c>
      <c r="M255" t="s">
        <v>27</v>
      </c>
      <c r="N255" t="s">
        <v>62</v>
      </c>
      <c r="O255" t="s">
        <v>29</v>
      </c>
      <c r="P255" t="s">
        <v>86</v>
      </c>
      <c r="Q255">
        <v>3.4</v>
      </c>
      <c r="R255">
        <v>10</v>
      </c>
    </row>
    <row r="256" spans="1:18" x14ac:dyDescent="0.3">
      <c r="A256" t="s">
        <v>725</v>
      </c>
      <c r="B256" t="s">
        <v>58</v>
      </c>
      <c r="C256" t="s">
        <v>76</v>
      </c>
      <c r="D256" t="s">
        <v>65</v>
      </c>
      <c r="E256" t="s">
        <v>726</v>
      </c>
      <c r="F256">
        <v>2016</v>
      </c>
      <c r="G256" t="s">
        <v>493</v>
      </c>
      <c r="H256" t="s">
        <v>24</v>
      </c>
      <c r="I256" t="s">
        <v>25</v>
      </c>
      <c r="J256">
        <v>17.5</v>
      </c>
      <c r="K256">
        <v>41720</v>
      </c>
      <c r="L256" t="s">
        <v>68</v>
      </c>
      <c r="M256" t="s">
        <v>54</v>
      </c>
      <c r="N256" t="s">
        <v>62</v>
      </c>
      <c r="O256" t="s">
        <v>46</v>
      </c>
      <c r="P256" t="s">
        <v>56</v>
      </c>
      <c r="Q256">
        <v>4.0999999999999996</v>
      </c>
      <c r="R256">
        <v>10</v>
      </c>
    </row>
    <row r="257" spans="1:18" x14ac:dyDescent="0.3">
      <c r="A257" t="s">
        <v>727</v>
      </c>
      <c r="B257" t="s">
        <v>70</v>
      </c>
      <c r="C257" t="s">
        <v>64</v>
      </c>
      <c r="D257" t="s">
        <v>21</v>
      </c>
      <c r="E257" t="s">
        <v>728</v>
      </c>
      <c r="F257">
        <v>2025</v>
      </c>
      <c r="G257" t="s">
        <v>729</v>
      </c>
      <c r="H257" t="s">
        <v>35</v>
      </c>
      <c r="I257" t="s">
        <v>25</v>
      </c>
      <c r="J257">
        <v>17.100000000000001</v>
      </c>
      <c r="K257">
        <v>27163</v>
      </c>
      <c r="L257" t="s">
        <v>45</v>
      </c>
      <c r="M257" t="s">
        <v>80</v>
      </c>
      <c r="N257" t="s">
        <v>28</v>
      </c>
      <c r="O257" t="s">
        <v>46</v>
      </c>
      <c r="P257" t="s">
        <v>86</v>
      </c>
      <c r="Q257">
        <v>9.1999999999999993</v>
      </c>
      <c r="R257">
        <v>1</v>
      </c>
    </row>
    <row r="258" spans="1:18" x14ac:dyDescent="0.3">
      <c r="A258" t="s">
        <v>730</v>
      </c>
      <c r="B258" t="s">
        <v>49</v>
      </c>
      <c r="C258" t="s">
        <v>112</v>
      </c>
      <c r="D258" t="s">
        <v>82</v>
      </c>
      <c r="E258" t="s">
        <v>731</v>
      </c>
      <c r="F258">
        <v>2023</v>
      </c>
      <c r="G258" t="s">
        <v>715</v>
      </c>
      <c r="H258" t="s">
        <v>24</v>
      </c>
      <c r="I258" t="s">
        <v>25</v>
      </c>
      <c r="J258">
        <v>1.9</v>
      </c>
      <c r="K258">
        <v>24228</v>
      </c>
      <c r="L258" t="s">
        <v>68</v>
      </c>
      <c r="M258" t="s">
        <v>54</v>
      </c>
      <c r="N258" t="s">
        <v>62</v>
      </c>
      <c r="O258" t="s">
        <v>29</v>
      </c>
      <c r="P258" t="s">
        <v>38</v>
      </c>
      <c r="Q258">
        <v>6.9</v>
      </c>
      <c r="R258">
        <v>3</v>
      </c>
    </row>
    <row r="259" spans="1:18" x14ac:dyDescent="0.3">
      <c r="A259" t="s">
        <v>732</v>
      </c>
      <c r="B259" t="s">
        <v>58</v>
      </c>
      <c r="C259" t="s">
        <v>112</v>
      </c>
      <c r="D259" t="s">
        <v>77</v>
      </c>
      <c r="E259" t="s">
        <v>733</v>
      </c>
      <c r="F259">
        <v>2025</v>
      </c>
      <c r="G259" t="s">
        <v>734</v>
      </c>
      <c r="H259" t="s">
        <v>24</v>
      </c>
      <c r="I259" t="s">
        <v>25</v>
      </c>
      <c r="J259">
        <v>1.7</v>
      </c>
      <c r="K259">
        <v>18320</v>
      </c>
      <c r="L259" t="s">
        <v>26</v>
      </c>
      <c r="M259" t="s">
        <v>80</v>
      </c>
      <c r="N259" t="s">
        <v>28</v>
      </c>
      <c r="O259" t="s">
        <v>118</v>
      </c>
      <c r="P259" t="s">
        <v>47</v>
      </c>
      <c r="Q259">
        <v>7.5</v>
      </c>
      <c r="R259">
        <v>1</v>
      </c>
    </row>
    <row r="260" spans="1:18" x14ac:dyDescent="0.3">
      <c r="A260" t="s">
        <v>735</v>
      </c>
      <c r="B260" t="s">
        <v>58</v>
      </c>
      <c r="C260" t="s">
        <v>76</v>
      </c>
      <c r="D260" t="s">
        <v>77</v>
      </c>
      <c r="E260" t="s">
        <v>736</v>
      </c>
      <c r="F260">
        <v>2016</v>
      </c>
      <c r="G260" t="s">
        <v>557</v>
      </c>
      <c r="H260" t="s">
        <v>35</v>
      </c>
      <c r="I260" t="s">
        <v>44</v>
      </c>
      <c r="J260">
        <v>15</v>
      </c>
      <c r="K260">
        <v>39383</v>
      </c>
      <c r="L260" t="s">
        <v>101</v>
      </c>
      <c r="M260" t="s">
        <v>54</v>
      </c>
      <c r="N260" t="s">
        <v>28</v>
      </c>
      <c r="O260" t="s">
        <v>118</v>
      </c>
      <c r="P260" t="s">
        <v>30</v>
      </c>
      <c r="Q260">
        <v>8.1</v>
      </c>
      <c r="R260">
        <v>10</v>
      </c>
    </row>
    <row r="261" spans="1:18" x14ac:dyDescent="0.3">
      <c r="A261" t="s">
        <v>737</v>
      </c>
      <c r="B261" t="s">
        <v>19</v>
      </c>
      <c r="C261" t="s">
        <v>20</v>
      </c>
      <c r="D261" t="s">
        <v>77</v>
      </c>
      <c r="E261" t="s">
        <v>738</v>
      </c>
      <c r="F261">
        <v>2014</v>
      </c>
      <c r="G261" t="s">
        <v>278</v>
      </c>
      <c r="H261" t="s">
        <v>96</v>
      </c>
      <c r="I261" t="s">
        <v>44</v>
      </c>
      <c r="J261">
        <v>6.5</v>
      </c>
      <c r="K261">
        <v>26106</v>
      </c>
      <c r="L261" t="s">
        <v>73</v>
      </c>
      <c r="M261" t="s">
        <v>80</v>
      </c>
      <c r="N261" t="s">
        <v>62</v>
      </c>
      <c r="O261" t="s">
        <v>29</v>
      </c>
      <c r="P261" t="s">
        <v>86</v>
      </c>
      <c r="Q261">
        <v>6.1</v>
      </c>
      <c r="R261">
        <v>12</v>
      </c>
    </row>
    <row r="262" spans="1:18" x14ac:dyDescent="0.3">
      <c r="A262" t="s">
        <v>739</v>
      </c>
      <c r="B262" t="s">
        <v>19</v>
      </c>
      <c r="C262" t="s">
        <v>76</v>
      </c>
      <c r="D262" t="s">
        <v>65</v>
      </c>
      <c r="E262" t="s">
        <v>740</v>
      </c>
      <c r="F262">
        <v>2023</v>
      </c>
      <c r="G262" t="s">
        <v>741</v>
      </c>
      <c r="H262" t="s">
        <v>24</v>
      </c>
      <c r="I262" t="s">
        <v>85</v>
      </c>
      <c r="J262">
        <v>3.2</v>
      </c>
      <c r="K262">
        <v>8136</v>
      </c>
      <c r="L262" t="s">
        <v>68</v>
      </c>
      <c r="M262" t="s">
        <v>54</v>
      </c>
      <c r="N262" t="s">
        <v>28</v>
      </c>
      <c r="O262" t="s">
        <v>118</v>
      </c>
      <c r="P262" t="s">
        <v>38</v>
      </c>
      <c r="Q262">
        <v>5.8</v>
      </c>
      <c r="R262">
        <v>3</v>
      </c>
    </row>
    <row r="263" spans="1:18" x14ac:dyDescent="0.3">
      <c r="A263" t="s">
        <v>742</v>
      </c>
      <c r="B263" t="s">
        <v>70</v>
      </c>
      <c r="C263" t="s">
        <v>20</v>
      </c>
      <c r="D263" t="s">
        <v>77</v>
      </c>
      <c r="E263" t="s">
        <v>743</v>
      </c>
      <c r="F263">
        <v>2025</v>
      </c>
      <c r="G263" t="s">
        <v>744</v>
      </c>
      <c r="H263" t="s">
        <v>24</v>
      </c>
      <c r="I263" t="s">
        <v>44</v>
      </c>
      <c r="J263">
        <v>7.4</v>
      </c>
      <c r="K263">
        <v>37522</v>
      </c>
      <c r="L263" t="s">
        <v>36</v>
      </c>
      <c r="M263" t="s">
        <v>54</v>
      </c>
      <c r="N263" t="s">
        <v>28</v>
      </c>
      <c r="O263" t="s">
        <v>118</v>
      </c>
      <c r="P263" t="s">
        <v>30</v>
      </c>
      <c r="Q263">
        <v>4.5999999999999996</v>
      </c>
      <c r="R263">
        <v>1</v>
      </c>
    </row>
    <row r="264" spans="1:18" x14ac:dyDescent="0.3">
      <c r="A264" t="s">
        <v>745</v>
      </c>
      <c r="B264" t="s">
        <v>49</v>
      </c>
      <c r="C264" t="s">
        <v>76</v>
      </c>
      <c r="D264" t="s">
        <v>21</v>
      </c>
      <c r="E264" t="s">
        <v>746</v>
      </c>
      <c r="F264">
        <v>2018</v>
      </c>
      <c r="G264" t="s">
        <v>298</v>
      </c>
      <c r="H264" t="s">
        <v>24</v>
      </c>
      <c r="I264" t="s">
        <v>61</v>
      </c>
      <c r="J264">
        <v>3.5</v>
      </c>
      <c r="K264">
        <v>20624</v>
      </c>
      <c r="L264" t="s">
        <v>26</v>
      </c>
      <c r="M264" t="s">
        <v>27</v>
      </c>
      <c r="N264" t="s">
        <v>28</v>
      </c>
      <c r="O264" t="s">
        <v>118</v>
      </c>
      <c r="P264" t="s">
        <v>47</v>
      </c>
      <c r="Q264">
        <v>5</v>
      </c>
      <c r="R264">
        <v>8</v>
      </c>
    </row>
    <row r="265" spans="1:18" x14ac:dyDescent="0.3">
      <c r="A265" t="s">
        <v>747</v>
      </c>
      <c r="B265" t="s">
        <v>19</v>
      </c>
      <c r="C265" t="s">
        <v>32</v>
      </c>
      <c r="D265" t="s">
        <v>82</v>
      </c>
      <c r="E265" t="s">
        <v>748</v>
      </c>
      <c r="F265">
        <v>2024</v>
      </c>
      <c r="G265" t="s">
        <v>99</v>
      </c>
      <c r="H265" t="s">
        <v>24</v>
      </c>
      <c r="I265" t="s">
        <v>85</v>
      </c>
      <c r="J265">
        <v>7</v>
      </c>
      <c r="K265">
        <v>30714</v>
      </c>
      <c r="L265" t="s">
        <v>26</v>
      </c>
      <c r="M265" t="s">
        <v>37</v>
      </c>
      <c r="N265" t="s">
        <v>55</v>
      </c>
      <c r="O265" t="s">
        <v>118</v>
      </c>
      <c r="P265" t="s">
        <v>86</v>
      </c>
      <c r="Q265">
        <v>2.6</v>
      </c>
      <c r="R265">
        <v>2</v>
      </c>
    </row>
    <row r="266" spans="1:18" x14ac:dyDescent="0.3">
      <c r="A266" t="s">
        <v>749</v>
      </c>
      <c r="B266" t="s">
        <v>19</v>
      </c>
      <c r="C266" t="s">
        <v>64</v>
      </c>
      <c r="D266" t="s">
        <v>50</v>
      </c>
      <c r="E266" t="s">
        <v>750</v>
      </c>
      <c r="F266">
        <v>2018</v>
      </c>
      <c r="G266" t="s">
        <v>751</v>
      </c>
      <c r="H266" t="s">
        <v>35</v>
      </c>
      <c r="I266" t="s">
        <v>44</v>
      </c>
      <c r="J266">
        <v>2</v>
      </c>
      <c r="K266">
        <v>24030</v>
      </c>
      <c r="L266" t="s">
        <v>45</v>
      </c>
      <c r="M266" t="s">
        <v>27</v>
      </c>
      <c r="N266" t="s">
        <v>62</v>
      </c>
      <c r="O266" t="s">
        <v>29</v>
      </c>
      <c r="P266" t="s">
        <v>74</v>
      </c>
      <c r="Q266">
        <v>1.1000000000000001</v>
      </c>
      <c r="R266">
        <v>8</v>
      </c>
    </row>
    <row r="267" spans="1:18" x14ac:dyDescent="0.3">
      <c r="A267" t="s">
        <v>752</v>
      </c>
      <c r="B267" t="s">
        <v>49</v>
      </c>
      <c r="C267" t="s">
        <v>76</v>
      </c>
      <c r="D267" t="s">
        <v>93</v>
      </c>
      <c r="E267" t="s">
        <v>753</v>
      </c>
      <c r="F267">
        <v>2020</v>
      </c>
      <c r="G267" t="s">
        <v>754</v>
      </c>
      <c r="H267" t="s">
        <v>35</v>
      </c>
      <c r="I267" t="s">
        <v>85</v>
      </c>
      <c r="J267">
        <v>10.5</v>
      </c>
      <c r="K267">
        <v>16943</v>
      </c>
      <c r="L267" t="s">
        <v>36</v>
      </c>
      <c r="M267" t="s">
        <v>37</v>
      </c>
      <c r="N267" t="s">
        <v>28</v>
      </c>
      <c r="O267" t="s">
        <v>118</v>
      </c>
      <c r="P267" t="s">
        <v>38</v>
      </c>
      <c r="Q267">
        <v>0.8</v>
      </c>
      <c r="R267">
        <v>6</v>
      </c>
    </row>
    <row r="268" spans="1:18" x14ac:dyDescent="0.3">
      <c r="A268" t="s">
        <v>755</v>
      </c>
      <c r="B268" t="s">
        <v>49</v>
      </c>
      <c r="C268" t="s">
        <v>32</v>
      </c>
      <c r="D268" t="s">
        <v>21</v>
      </c>
      <c r="E268" t="s">
        <v>756</v>
      </c>
      <c r="F268">
        <v>2023</v>
      </c>
      <c r="G268" t="s">
        <v>253</v>
      </c>
      <c r="H268" t="s">
        <v>24</v>
      </c>
      <c r="I268" t="s">
        <v>85</v>
      </c>
      <c r="J268">
        <v>3.5</v>
      </c>
      <c r="K268">
        <v>12455</v>
      </c>
      <c r="L268" t="s">
        <v>73</v>
      </c>
      <c r="M268" t="s">
        <v>54</v>
      </c>
      <c r="N268" t="s">
        <v>28</v>
      </c>
      <c r="O268" t="s">
        <v>29</v>
      </c>
      <c r="P268" t="s">
        <v>47</v>
      </c>
      <c r="Q268">
        <v>1.2</v>
      </c>
      <c r="R268">
        <v>3</v>
      </c>
    </row>
    <row r="269" spans="1:18" x14ac:dyDescent="0.3">
      <c r="A269" t="s">
        <v>757</v>
      </c>
      <c r="B269" t="s">
        <v>40</v>
      </c>
      <c r="C269" t="s">
        <v>64</v>
      </c>
      <c r="D269" t="s">
        <v>50</v>
      </c>
      <c r="E269" t="s">
        <v>758</v>
      </c>
      <c r="F269">
        <v>2024</v>
      </c>
      <c r="G269" t="s">
        <v>156</v>
      </c>
      <c r="H269" t="s">
        <v>35</v>
      </c>
      <c r="I269" t="s">
        <v>53</v>
      </c>
      <c r="J269">
        <v>16.399999999999999</v>
      </c>
      <c r="K269">
        <v>5891</v>
      </c>
      <c r="L269" t="s">
        <v>26</v>
      </c>
      <c r="M269" t="s">
        <v>27</v>
      </c>
      <c r="N269" t="s">
        <v>62</v>
      </c>
      <c r="O269" t="s">
        <v>118</v>
      </c>
      <c r="P269" t="s">
        <v>74</v>
      </c>
      <c r="Q269">
        <v>3.6</v>
      </c>
      <c r="R269">
        <v>2</v>
      </c>
    </row>
    <row r="270" spans="1:18" x14ac:dyDescent="0.3">
      <c r="A270" t="s">
        <v>759</v>
      </c>
      <c r="B270" t="s">
        <v>58</v>
      </c>
      <c r="C270" t="s">
        <v>112</v>
      </c>
      <c r="D270" t="s">
        <v>50</v>
      </c>
      <c r="E270" t="s">
        <v>760</v>
      </c>
      <c r="F270">
        <v>2018</v>
      </c>
      <c r="G270" t="s">
        <v>318</v>
      </c>
      <c r="H270" t="s">
        <v>35</v>
      </c>
      <c r="I270" t="s">
        <v>100</v>
      </c>
      <c r="J270">
        <v>9.6</v>
      </c>
      <c r="K270">
        <v>28998</v>
      </c>
      <c r="L270" t="s">
        <v>26</v>
      </c>
      <c r="M270" t="s">
        <v>27</v>
      </c>
      <c r="N270" t="s">
        <v>28</v>
      </c>
      <c r="O270" t="s">
        <v>29</v>
      </c>
      <c r="P270" t="s">
        <v>74</v>
      </c>
      <c r="Q270">
        <v>6.1</v>
      </c>
      <c r="R270">
        <v>8</v>
      </c>
    </row>
    <row r="271" spans="1:18" x14ac:dyDescent="0.3">
      <c r="A271" t="s">
        <v>761</v>
      </c>
      <c r="B271" t="s">
        <v>49</v>
      </c>
      <c r="C271" t="s">
        <v>112</v>
      </c>
      <c r="D271" t="s">
        <v>50</v>
      </c>
      <c r="E271" t="s">
        <v>762</v>
      </c>
      <c r="F271">
        <v>2015</v>
      </c>
      <c r="G271" t="s">
        <v>763</v>
      </c>
      <c r="H271" t="s">
        <v>24</v>
      </c>
      <c r="I271" t="s">
        <v>100</v>
      </c>
      <c r="J271">
        <v>15.9</v>
      </c>
      <c r="K271">
        <v>28428</v>
      </c>
      <c r="L271" t="s">
        <v>68</v>
      </c>
      <c r="M271" t="s">
        <v>27</v>
      </c>
      <c r="N271" t="s">
        <v>62</v>
      </c>
      <c r="O271" t="s">
        <v>118</v>
      </c>
      <c r="P271" t="s">
        <v>74</v>
      </c>
      <c r="Q271">
        <v>6.3</v>
      </c>
      <c r="R271">
        <v>11</v>
      </c>
    </row>
    <row r="272" spans="1:18" x14ac:dyDescent="0.3">
      <c r="A272" t="s">
        <v>764</v>
      </c>
      <c r="B272" t="s">
        <v>70</v>
      </c>
      <c r="C272" t="s">
        <v>76</v>
      </c>
      <c r="D272" t="s">
        <v>21</v>
      </c>
      <c r="E272" t="s">
        <v>765</v>
      </c>
      <c r="F272">
        <v>2014</v>
      </c>
      <c r="G272" t="s">
        <v>407</v>
      </c>
      <c r="H272" t="s">
        <v>35</v>
      </c>
      <c r="I272" t="s">
        <v>25</v>
      </c>
      <c r="J272">
        <v>12.6</v>
      </c>
      <c r="K272">
        <v>4041</v>
      </c>
      <c r="L272" t="s">
        <v>36</v>
      </c>
      <c r="M272" t="s">
        <v>37</v>
      </c>
      <c r="N272" t="s">
        <v>62</v>
      </c>
      <c r="O272" t="s">
        <v>29</v>
      </c>
      <c r="P272" t="s">
        <v>30</v>
      </c>
      <c r="Q272">
        <v>7.6</v>
      </c>
      <c r="R272">
        <v>12</v>
      </c>
    </row>
    <row r="273" spans="1:18" x14ac:dyDescent="0.3">
      <c r="A273" t="s">
        <v>766</v>
      </c>
      <c r="B273" t="s">
        <v>19</v>
      </c>
      <c r="C273" t="s">
        <v>20</v>
      </c>
      <c r="D273" t="s">
        <v>50</v>
      </c>
      <c r="E273" t="s">
        <v>767</v>
      </c>
      <c r="F273">
        <v>2018</v>
      </c>
      <c r="G273" t="s">
        <v>370</v>
      </c>
      <c r="H273" t="s">
        <v>35</v>
      </c>
      <c r="I273" t="s">
        <v>53</v>
      </c>
      <c r="J273">
        <v>5.4</v>
      </c>
      <c r="K273">
        <v>33718</v>
      </c>
      <c r="L273" t="s">
        <v>101</v>
      </c>
      <c r="M273" t="s">
        <v>80</v>
      </c>
      <c r="N273" t="s">
        <v>28</v>
      </c>
      <c r="O273" t="s">
        <v>29</v>
      </c>
      <c r="P273" t="s">
        <v>86</v>
      </c>
      <c r="Q273">
        <v>9.8000000000000007</v>
      </c>
      <c r="R273">
        <v>8</v>
      </c>
    </row>
    <row r="274" spans="1:18" x14ac:dyDescent="0.3">
      <c r="A274" t="s">
        <v>768</v>
      </c>
      <c r="B274" t="s">
        <v>70</v>
      </c>
      <c r="C274" t="s">
        <v>20</v>
      </c>
      <c r="D274" t="s">
        <v>65</v>
      </c>
      <c r="E274" t="s">
        <v>769</v>
      </c>
      <c r="F274">
        <v>2021</v>
      </c>
      <c r="G274" t="s">
        <v>627</v>
      </c>
      <c r="H274" t="s">
        <v>24</v>
      </c>
      <c r="I274" t="s">
        <v>25</v>
      </c>
      <c r="J274">
        <v>2.1</v>
      </c>
      <c r="K274">
        <v>30448</v>
      </c>
      <c r="L274" t="s">
        <v>73</v>
      </c>
      <c r="M274" t="s">
        <v>27</v>
      </c>
      <c r="N274" t="s">
        <v>62</v>
      </c>
      <c r="O274" t="s">
        <v>118</v>
      </c>
      <c r="P274" t="s">
        <v>74</v>
      </c>
      <c r="Q274">
        <v>8.6999999999999993</v>
      </c>
      <c r="R274">
        <v>5</v>
      </c>
    </row>
    <row r="275" spans="1:18" x14ac:dyDescent="0.3">
      <c r="A275" t="s">
        <v>770</v>
      </c>
      <c r="B275" t="s">
        <v>40</v>
      </c>
      <c r="C275" t="s">
        <v>112</v>
      </c>
      <c r="D275" t="s">
        <v>77</v>
      </c>
      <c r="E275" t="s">
        <v>771</v>
      </c>
      <c r="F275">
        <v>2014</v>
      </c>
      <c r="G275" t="s">
        <v>455</v>
      </c>
      <c r="H275" t="s">
        <v>35</v>
      </c>
      <c r="I275" t="s">
        <v>85</v>
      </c>
      <c r="J275">
        <v>2.9</v>
      </c>
      <c r="K275">
        <v>35859</v>
      </c>
      <c r="L275" t="s">
        <v>45</v>
      </c>
      <c r="M275" t="s">
        <v>80</v>
      </c>
      <c r="N275" t="s">
        <v>28</v>
      </c>
      <c r="O275" t="s">
        <v>29</v>
      </c>
      <c r="P275" t="s">
        <v>56</v>
      </c>
      <c r="Q275">
        <v>8.5</v>
      </c>
      <c r="R275">
        <v>12</v>
      </c>
    </row>
    <row r="276" spans="1:18" x14ac:dyDescent="0.3">
      <c r="A276" t="s">
        <v>772</v>
      </c>
      <c r="B276" t="s">
        <v>58</v>
      </c>
      <c r="C276" t="s">
        <v>112</v>
      </c>
      <c r="D276" t="s">
        <v>77</v>
      </c>
      <c r="E276" t="s">
        <v>773</v>
      </c>
      <c r="F276">
        <v>2017</v>
      </c>
      <c r="G276" t="s">
        <v>290</v>
      </c>
      <c r="H276" t="s">
        <v>35</v>
      </c>
      <c r="I276" t="s">
        <v>53</v>
      </c>
      <c r="J276">
        <v>6.9</v>
      </c>
      <c r="K276">
        <v>31923</v>
      </c>
      <c r="L276" t="s">
        <v>45</v>
      </c>
      <c r="M276" t="s">
        <v>27</v>
      </c>
      <c r="N276" t="s">
        <v>62</v>
      </c>
      <c r="O276" t="s">
        <v>29</v>
      </c>
      <c r="P276" t="s">
        <v>38</v>
      </c>
      <c r="Q276">
        <v>0.8</v>
      </c>
      <c r="R276">
        <v>9</v>
      </c>
    </row>
    <row r="277" spans="1:18" x14ac:dyDescent="0.3">
      <c r="A277" t="s">
        <v>774</v>
      </c>
      <c r="B277" t="s">
        <v>49</v>
      </c>
      <c r="C277" t="s">
        <v>76</v>
      </c>
      <c r="D277" t="s">
        <v>21</v>
      </c>
      <c r="E277" t="s">
        <v>775</v>
      </c>
      <c r="F277">
        <v>2019</v>
      </c>
      <c r="G277" t="s">
        <v>776</v>
      </c>
      <c r="H277" t="s">
        <v>96</v>
      </c>
      <c r="I277" t="s">
        <v>85</v>
      </c>
      <c r="J277">
        <v>10.8</v>
      </c>
      <c r="K277">
        <v>24421</v>
      </c>
      <c r="L277" t="s">
        <v>68</v>
      </c>
      <c r="M277" t="s">
        <v>54</v>
      </c>
      <c r="N277" t="s">
        <v>55</v>
      </c>
      <c r="O277" t="s">
        <v>46</v>
      </c>
      <c r="P277" t="s">
        <v>38</v>
      </c>
      <c r="Q277">
        <v>1.4</v>
      </c>
      <c r="R277">
        <v>7</v>
      </c>
    </row>
    <row r="278" spans="1:18" x14ac:dyDescent="0.3">
      <c r="A278" t="s">
        <v>777</v>
      </c>
      <c r="B278" t="s">
        <v>19</v>
      </c>
      <c r="C278" t="s">
        <v>64</v>
      </c>
      <c r="D278" t="s">
        <v>50</v>
      </c>
      <c r="E278" t="s">
        <v>778</v>
      </c>
      <c r="F278">
        <v>2014</v>
      </c>
      <c r="G278" t="s">
        <v>681</v>
      </c>
      <c r="H278" t="s">
        <v>35</v>
      </c>
      <c r="I278" t="s">
        <v>61</v>
      </c>
      <c r="J278">
        <v>15.5</v>
      </c>
      <c r="K278">
        <v>43926</v>
      </c>
      <c r="L278" t="s">
        <v>73</v>
      </c>
      <c r="M278" t="s">
        <v>54</v>
      </c>
      <c r="N278" t="s">
        <v>55</v>
      </c>
      <c r="O278" t="s">
        <v>46</v>
      </c>
      <c r="P278" t="s">
        <v>47</v>
      </c>
      <c r="Q278">
        <v>5.4</v>
      </c>
      <c r="R278">
        <v>12</v>
      </c>
    </row>
    <row r="279" spans="1:18" x14ac:dyDescent="0.3">
      <c r="A279" t="s">
        <v>779</v>
      </c>
      <c r="B279" t="s">
        <v>58</v>
      </c>
      <c r="C279" t="s">
        <v>64</v>
      </c>
      <c r="D279" t="s">
        <v>65</v>
      </c>
      <c r="E279" t="s">
        <v>780</v>
      </c>
      <c r="F279">
        <v>2024</v>
      </c>
      <c r="G279" t="s">
        <v>507</v>
      </c>
      <c r="H279" t="s">
        <v>24</v>
      </c>
      <c r="I279" t="s">
        <v>44</v>
      </c>
      <c r="J279">
        <v>4.4000000000000004</v>
      </c>
      <c r="K279">
        <v>41368</v>
      </c>
      <c r="L279" t="s">
        <v>68</v>
      </c>
      <c r="M279" t="s">
        <v>37</v>
      </c>
      <c r="N279" t="s">
        <v>55</v>
      </c>
      <c r="O279" t="s">
        <v>118</v>
      </c>
      <c r="P279" t="s">
        <v>86</v>
      </c>
      <c r="Q279">
        <v>4.9000000000000004</v>
      </c>
      <c r="R279">
        <v>2</v>
      </c>
    </row>
    <row r="280" spans="1:18" x14ac:dyDescent="0.3">
      <c r="A280" t="s">
        <v>781</v>
      </c>
      <c r="B280" t="s">
        <v>70</v>
      </c>
      <c r="C280" t="s">
        <v>32</v>
      </c>
      <c r="D280" t="s">
        <v>50</v>
      </c>
      <c r="E280" t="s">
        <v>782</v>
      </c>
      <c r="F280">
        <v>2017</v>
      </c>
      <c r="G280" t="s">
        <v>783</v>
      </c>
      <c r="H280" t="s">
        <v>35</v>
      </c>
      <c r="I280" t="s">
        <v>100</v>
      </c>
      <c r="J280">
        <v>2.2999999999999998</v>
      </c>
      <c r="K280">
        <v>35022</v>
      </c>
      <c r="L280" t="s">
        <v>101</v>
      </c>
      <c r="M280" t="s">
        <v>37</v>
      </c>
      <c r="N280" t="s">
        <v>62</v>
      </c>
      <c r="O280" t="s">
        <v>46</v>
      </c>
      <c r="P280" t="s">
        <v>74</v>
      </c>
      <c r="Q280">
        <v>6.3</v>
      </c>
      <c r="R280">
        <v>9</v>
      </c>
    </row>
    <row r="281" spans="1:18" x14ac:dyDescent="0.3">
      <c r="A281" t="s">
        <v>784</v>
      </c>
      <c r="B281" t="s">
        <v>19</v>
      </c>
      <c r="C281" t="s">
        <v>76</v>
      </c>
      <c r="D281" t="s">
        <v>41</v>
      </c>
      <c r="E281" t="s">
        <v>785</v>
      </c>
      <c r="F281">
        <v>2018</v>
      </c>
      <c r="G281" t="s">
        <v>275</v>
      </c>
      <c r="H281" t="s">
        <v>24</v>
      </c>
      <c r="I281" t="s">
        <v>53</v>
      </c>
      <c r="J281">
        <v>11.7</v>
      </c>
      <c r="K281">
        <v>19645</v>
      </c>
      <c r="L281" t="s">
        <v>68</v>
      </c>
      <c r="M281" t="s">
        <v>37</v>
      </c>
      <c r="N281" t="s">
        <v>28</v>
      </c>
      <c r="O281" t="s">
        <v>29</v>
      </c>
      <c r="P281" t="s">
        <v>74</v>
      </c>
      <c r="Q281">
        <v>7.8</v>
      </c>
      <c r="R281">
        <v>8</v>
      </c>
    </row>
    <row r="282" spans="1:18" x14ac:dyDescent="0.3">
      <c r="A282" t="s">
        <v>786</v>
      </c>
      <c r="B282" t="s">
        <v>49</v>
      </c>
      <c r="C282" t="s">
        <v>76</v>
      </c>
      <c r="D282" t="s">
        <v>65</v>
      </c>
      <c r="E282" t="s">
        <v>787</v>
      </c>
      <c r="F282">
        <v>2014</v>
      </c>
      <c r="G282" t="s">
        <v>110</v>
      </c>
      <c r="H282" t="s">
        <v>24</v>
      </c>
      <c r="I282" t="s">
        <v>61</v>
      </c>
      <c r="J282">
        <v>13.1</v>
      </c>
      <c r="K282">
        <v>44452</v>
      </c>
      <c r="L282" t="s">
        <v>36</v>
      </c>
      <c r="M282" t="s">
        <v>37</v>
      </c>
      <c r="N282" t="s">
        <v>55</v>
      </c>
      <c r="O282" t="s">
        <v>118</v>
      </c>
      <c r="P282" t="s">
        <v>47</v>
      </c>
      <c r="Q282">
        <v>4.2</v>
      </c>
      <c r="R282">
        <v>12</v>
      </c>
    </row>
    <row r="283" spans="1:18" x14ac:dyDescent="0.3">
      <c r="A283" t="s">
        <v>788</v>
      </c>
      <c r="B283" t="s">
        <v>49</v>
      </c>
      <c r="C283" t="s">
        <v>64</v>
      </c>
      <c r="D283" t="s">
        <v>77</v>
      </c>
      <c r="E283" t="s">
        <v>789</v>
      </c>
      <c r="F283">
        <v>2014</v>
      </c>
      <c r="G283" t="s">
        <v>597</v>
      </c>
      <c r="H283" t="s">
        <v>35</v>
      </c>
      <c r="I283" t="s">
        <v>61</v>
      </c>
      <c r="J283">
        <v>12.5</v>
      </c>
      <c r="K283">
        <v>43332</v>
      </c>
      <c r="L283" t="s">
        <v>36</v>
      </c>
      <c r="M283" t="s">
        <v>37</v>
      </c>
      <c r="N283" t="s">
        <v>62</v>
      </c>
      <c r="O283" t="s">
        <v>118</v>
      </c>
      <c r="P283" t="s">
        <v>56</v>
      </c>
      <c r="Q283">
        <v>8.5</v>
      </c>
      <c r="R283">
        <v>12</v>
      </c>
    </row>
    <row r="284" spans="1:18" x14ac:dyDescent="0.3">
      <c r="A284" t="s">
        <v>790</v>
      </c>
      <c r="B284" t="s">
        <v>70</v>
      </c>
      <c r="C284" t="s">
        <v>112</v>
      </c>
      <c r="D284" t="s">
        <v>82</v>
      </c>
      <c r="E284" t="s">
        <v>791</v>
      </c>
      <c r="F284">
        <v>2022</v>
      </c>
      <c r="G284" t="s">
        <v>792</v>
      </c>
      <c r="H284" t="s">
        <v>24</v>
      </c>
      <c r="I284" t="s">
        <v>53</v>
      </c>
      <c r="J284">
        <v>13.2</v>
      </c>
      <c r="K284">
        <v>38136</v>
      </c>
      <c r="L284" t="s">
        <v>73</v>
      </c>
      <c r="M284" t="s">
        <v>37</v>
      </c>
      <c r="N284" t="s">
        <v>62</v>
      </c>
      <c r="O284" t="s">
        <v>29</v>
      </c>
      <c r="P284" t="s">
        <v>56</v>
      </c>
      <c r="Q284">
        <v>3.9</v>
      </c>
      <c r="R284">
        <v>4</v>
      </c>
    </row>
    <row r="285" spans="1:18" x14ac:dyDescent="0.3">
      <c r="A285" t="s">
        <v>793</v>
      </c>
      <c r="B285" t="s">
        <v>58</v>
      </c>
      <c r="C285" t="s">
        <v>20</v>
      </c>
      <c r="D285" t="s">
        <v>77</v>
      </c>
      <c r="E285" t="s">
        <v>794</v>
      </c>
      <c r="F285">
        <v>2025</v>
      </c>
      <c r="G285" t="s">
        <v>546</v>
      </c>
      <c r="H285" t="s">
        <v>24</v>
      </c>
      <c r="I285" t="s">
        <v>53</v>
      </c>
      <c r="J285">
        <v>8.6</v>
      </c>
      <c r="K285">
        <v>9218</v>
      </c>
      <c r="L285" t="s">
        <v>36</v>
      </c>
      <c r="M285" t="s">
        <v>80</v>
      </c>
      <c r="N285" t="s">
        <v>62</v>
      </c>
      <c r="O285" t="s">
        <v>46</v>
      </c>
      <c r="P285" t="s">
        <v>74</v>
      </c>
      <c r="Q285">
        <v>9.5</v>
      </c>
      <c r="R285">
        <v>1</v>
      </c>
    </row>
    <row r="286" spans="1:18" x14ac:dyDescent="0.3">
      <c r="A286" t="s">
        <v>795</v>
      </c>
      <c r="B286" t="s">
        <v>40</v>
      </c>
      <c r="C286" t="s">
        <v>32</v>
      </c>
      <c r="D286" t="s">
        <v>41</v>
      </c>
      <c r="E286" t="s">
        <v>796</v>
      </c>
      <c r="F286">
        <v>2015</v>
      </c>
      <c r="G286" t="s">
        <v>194</v>
      </c>
      <c r="H286" t="s">
        <v>96</v>
      </c>
      <c r="I286" t="s">
        <v>85</v>
      </c>
      <c r="J286">
        <v>9.8000000000000007</v>
      </c>
      <c r="K286">
        <v>28573</v>
      </c>
      <c r="L286" t="s">
        <v>26</v>
      </c>
      <c r="M286" t="s">
        <v>54</v>
      </c>
      <c r="N286" t="s">
        <v>28</v>
      </c>
      <c r="O286" t="s">
        <v>29</v>
      </c>
      <c r="P286" t="s">
        <v>86</v>
      </c>
      <c r="Q286">
        <v>4.4000000000000004</v>
      </c>
      <c r="R286">
        <v>11</v>
      </c>
    </row>
    <row r="287" spans="1:18" x14ac:dyDescent="0.3">
      <c r="A287" t="s">
        <v>797</v>
      </c>
      <c r="B287" t="s">
        <v>40</v>
      </c>
      <c r="C287" t="s">
        <v>20</v>
      </c>
      <c r="D287" t="s">
        <v>50</v>
      </c>
      <c r="E287" t="s">
        <v>798</v>
      </c>
      <c r="F287">
        <v>2023</v>
      </c>
      <c r="G287" t="s">
        <v>501</v>
      </c>
      <c r="H287" t="s">
        <v>35</v>
      </c>
      <c r="I287" t="s">
        <v>44</v>
      </c>
      <c r="J287">
        <v>9</v>
      </c>
      <c r="K287">
        <v>42855</v>
      </c>
      <c r="L287" t="s">
        <v>73</v>
      </c>
      <c r="M287" t="s">
        <v>37</v>
      </c>
      <c r="N287" t="s">
        <v>62</v>
      </c>
      <c r="O287" t="s">
        <v>29</v>
      </c>
      <c r="P287" t="s">
        <v>30</v>
      </c>
      <c r="Q287">
        <v>4.8</v>
      </c>
      <c r="R287">
        <v>3</v>
      </c>
    </row>
    <row r="288" spans="1:18" x14ac:dyDescent="0.3">
      <c r="A288" t="s">
        <v>799</v>
      </c>
      <c r="B288" t="s">
        <v>40</v>
      </c>
      <c r="C288" t="s">
        <v>32</v>
      </c>
      <c r="D288" t="s">
        <v>50</v>
      </c>
      <c r="E288" t="s">
        <v>800</v>
      </c>
      <c r="F288">
        <v>2017</v>
      </c>
      <c r="G288" t="s">
        <v>360</v>
      </c>
      <c r="H288" t="s">
        <v>24</v>
      </c>
      <c r="I288" t="s">
        <v>44</v>
      </c>
      <c r="J288">
        <v>2.8</v>
      </c>
      <c r="K288">
        <v>29923</v>
      </c>
      <c r="L288" t="s">
        <v>101</v>
      </c>
      <c r="M288" t="s">
        <v>27</v>
      </c>
      <c r="N288" t="s">
        <v>55</v>
      </c>
      <c r="O288" t="s">
        <v>118</v>
      </c>
      <c r="P288" t="s">
        <v>47</v>
      </c>
      <c r="Q288">
        <v>4.0999999999999996</v>
      </c>
      <c r="R288">
        <v>9</v>
      </c>
    </row>
    <row r="289" spans="1:18" x14ac:dyDescent="0.3">
      <c r="A289" t="s">
        <v>801</v>
      </c>
      <c r="B289" t="s">
        <v>40</v>
      </c>
      <c r="C289" t="s">
        <v>20</v>
      </c>
      <c r="D289" t="s">
        <v>41</v>
      </c>
      <c r="E289" t="s">
        <v>802</v>
      </c>
      <c r="F289">
        <v>2014</v>
      </c>
      <c r="G289" t="s">
        <v>803</v>
      </c>
      <c r="H289" t="s">
        <v>96</v>
      </c>
      <c r="I289" t="s">
        <v>100</v>
      </c>
      <c r="J289">
        <v>3.8</v>
      </c>
      <c r="K289">
        <v>1770</v>
      </c>
      <c r="L289" t="s">
        <v>101</v>
      </c>
      <c r="M289" t="s">
        <v>54</v>
      </c>
      <c r="N289" t="s">
        <v>28</v>
      </c>
      <c r="O289" t="s">
        <v>46</v>
      </c>
      <c r="P289" t="s">
        <v>86</v>
      </c>
      <c r="Q289">
        <v>3.5</v>
      </c>
      <c r="R289">
        <v>12</v>
      </c>
    </row>
    <row r="290" spans="1:18" x14ac:dyDescent="0.3">
      <c r="A290" t="s">
        <v>804</v>
      </c>
      <c r="B290" t="s">
        <v>49</v>
      </c>
      <c r="C290" t="s">
        <v>32</v>
      </c>
      <c r="D290" t="s">
        <v>77</v>
      </c>
      <c r="E290" t="s">
        <v>805</v>
      </c>
      <c r="F290">
        <v>2015</v>
      </c>
      <c r="G290" t="s">
        <v>681</v>
      </c>
      <c r="H290" t="s">
        <v>24</v>
      </c>
      <c r="I290" t="s">
        <v>44</v>
      </c>
      <c r="J290">
        <v>5.7</v>
      </c>
      <c r="K290">
        <v>20559</v>
      </c>
      <c r="L290" t="s">
        <v>36</v>
      </c>
      <c r="M290" t="s">
        <v>37</v>
      </c>
      <c r="N290" t="s">
        <v>55</v>
      </c>
      <c r="O290" t="s">
        <v>46</v>
      </c>
      <c r="P290" t="s">
        <v>56</v>
      </c>
      <c r="Q290">
        <v>3.8</v>
      </c>
      <c r="R290">
        <v>11</v>
      </c>
    </row>
    <row r="291" spans="1:18" x14ac:dyDescent="0.3">
      <c r="A291" t="s">
        <v>806</v>
      </c>
      <c r="B291" t="s">
        <v>40</v>
      </c>
      <c r="C291" t="s">
        <v>64</v>
      </c>
      <c r="D291" t="s">
        <v>50</v>
      </c>
      <c r="E291" t="s">
        <v>807</v>
      </c>
      <c r="F291">
        <v>2021</v>
      </c>
      <c r="G291" t="s">
        <v>808</v>
      </c>
      <c r="H291" t="s">
        <v>24</v>
      </c>
      <c r="I291" t="s">
        <v>61</v>
      </c>
      <c r="J291">
        <v>4.4000000000000004</v>
      </c>
      <c r="K291">
        <v>10098</v>
      </c>
      <c r="L291" t="s">
        <v>73</v>
      </c>
      <c r="M291" t="s">
        <v>80</v>
      </c>
      <c r="N291" t="s">
        <v>62</v>
      </c>
      <c r="O291" t="s">
        <v>46</v>
      </c>
      <c r="P291" t="s">
        <v>56</v>
      </c>
      <c r="Q291">
        <v>1.7</v>
      </c>
      <c r="R291">
        <v>5</v>
      </c>
    </row>
    <row r="292" spans="1:18" x14ac:dyDescent="0.3">
      <c r="A292" t="s">
        <v>809</v>
      </c>
      <c r="B292" t="s">
        <v>19</v>
      </c>
      <c r="C292" t="s">
        <v>76</v>
      </c>
      <c r="D292" t="s">
        <v>65</v>
      </c>
      <c r="E292" t="s">
        <v>810</v>
      </c>
      <c r="F292">
        <v>2025</v>
      </c>
      <c r="G292" t="s">
        <v>206</v>
      </c>
      <c r="H292" t="s">
        <v>24</v>
      </c>
      <c r="I292" t="s">
        <v>100</v>
      </c>
      <c r="J292">
        <v>11.4</v>
      </c>
      <c r="K292">
        <v>40423</v>
      </c>
      <c r="L292" t="s">
        <v>26</v>
      </c>
      <c r="M292" t="s">
        <v>80</v>
      </c>
      <c r="N292" t="s">
        <v>62</v>
      </c>
      <c r="O292" t="s">
        <v>29</v>
      </c>
      <c r="P292" t="s">
        <v>30</v>
      </c>
      <c r="Q292">
        <v>7.1</v>
      </c>
      <c r="R292">
        <v>1</v>
      </c>
    </row>
    <row r="293" spans="1:18" x14ac:dyDescent="0.3">
      <c r="A293" t="s">
        <v>811</v>
      </c>
      <c r="B293" t="s">
        <v>58</v>
      </c>
      <c r="C293" t="s">
        <v>112</v>
      </c>
      <c r="D293" t="s">
        <v>93</v>
      </c>
      <c r="E293" t="s">
        <v>812</v>
      </c>
      <c r="F293">
        <v>2020</v>
      </c>
      <c r="G293" t="s">
        <v>165</v>
      </c>
      <c r="H293" t="s">
        <v>24</v>
      </c>
      <c r="I293" t="s">
        <v>25</v>
      </c>
      <c r="J293">
        <v>3.2</v>
      </c>
      <c r="K293">
        <v>42808</v>
      </c>
      <c r="L293" t="s">
        <v>26</v>
      </c>
      <c r="M293" t="s">
        <v>37</v>
      </c>
      <c r="N293" t="s">
        <v>55</v>
      </c>
      <c r="O293" t="s">
        <v>46</v>
      </c>
      <c r="P293" t="s">
        <v>30</v>
      </c>
      <c r="Q293">
        <v>6.8</v>
      </c>
      <c r="R293">
        <v>6</v>
      </c>
    </row>
    <row r="294" spans="1:18" x14ac:dyDescent="0.3">
      <c r="A294" t="s">
        <v>813</v>
      </c>
      <c r="B294" t="s">
        <v>49</v>
      </c>
      <c r="C294" t="s">
        <v>64</v>
      </c>
      <c r="D294" t="s">
        <v>82</v>
      </c>
      <c r="E294" t="s">
        <v>814</v>
      </c>
      <c r="F294">
        <v>2018</v>
      </c>
      <c r="G294" t="s">
        <v>815</v>
      </c>
      <c r="H294" t="s">
        <v>35</v>
      </c>
      <c r="I294" t="s">
        <v>44</v>
      </c>
      <c r="J294">
        <v>9.5</v>
      </c>
      <c r="K294">
        <v>41981</v>
      </c>
      <c r="L294" t="s">
        <v>26</v>
      </c>
      <c r="M294" t="s">
        <v>37</v>
      </c>
      <c r="N294" t="s">
        <v>28</v>
      </c>
      <c r="O294" t="s">
        <v>29</v>
      </c>
      <c r="P294" t="s">
        <v>47</v>
      </c>
      <c r="Q294">
        <v>2.4</v>
      </c>
      <c r="R294">
        <v>8</v>
      </c>
    </row>
    <row r="295" spans="1:18" x14ac:dyDescent="0.3">
      <c r="A295" t="s">
        <v>816</v>
      </c>
      <c r="B295" t="s">
        <v>70</v>
      </c>
      <c r="C295" t="s">
        <v>32</v>
      </c>
      <c r="D295" t="s">
        <v>21</v>
      </c>
      <c r="E295" t="s">
        <v>817</v>
      </c>
      <c r="F295">
        <v>2017</v>
      </c>
      <c r="G295" t="s">
        <v>698</v>
      </c>
      <c r="H295" t="s">
        <v>24</v>
      </c>
      <c r="I295" t="s">
        <v>85</v>
      </c>
      <c r="J295">
        <v>5.7</v>
      </c>
      <c r="K295">
        <v>4082</v>
      </c>
      <c r="L295" t="s">
        <v>45</v>
      </c>
      <c r="M295" t="s">
        <v>27</v>
      </c>
      <c r="N295" t="s">
        <v>28</v>
      </c>
      <c r="O295" t="s">
        <v>46</v>
      </c>
      <c r="P295" t="s">
        <v>47</v>
      </c>
      <c r="Q295">
        <v>3.6</v>
      </c>
      <c r="R295">
        <v>9</v>
      </c>
    </row>
    <row r="296" spans="1:18" x14ac:dyDescent="0.3">
      <c r="A296" t="s">
        <v>818</v>
      </c>
      <c r="B296" t="s">
        <v>19</v>
      </c>
      <c r="C296" t="s">
        <v>112</v>
      </c>
      <c r="D296" t="s">
        <v>50</v>
      </c>
      <c r="E296" t="s">
        <v>819</v>
      </c>
      <c r="F296">
        <v>2014</v>
      </c>
      <c r="G296" t="s">
        <v>820</v>
      </c>
      <c r="H296" t="s">
        <v>35</v>
      </c>
      <c r="I296" t="s">
        <v>85</v>
      </c>
      <c r="J296">
        <v>3.1</v>
      </c>
      <c r="K296">
        <v>7403</v>
      </c>
      <c r="L296" t="s">
        <v>45</v>
      </c>
      <c r="M296" t="s">
        <v>80</v>
      </c>
      <c r="N296" t="s">
        <v>62</v>
      </c>
      <c r="O296" t="s">
        <v>46</v>
      </c>
      <c r="P296" t="s">
        <v>30</v>
      </c>
      <c r="Q296">
        <v>9.1</v>
      </c>
      <c r="R296">
        <v>12</v>
      </c>
    </row>
    <row r="297" spans="1:18" x14ac:dyDescent="0.3">
      <c r="A297" t="s">
        <v>821</v>
      </c>
      <c r="B297" t="s">
        <v>58</v>
      </c>
      <c r="C297" t="s">
        <v>20</v>
      </c>
      <c r="D297" t="s">
        <v>77</v>
      </c>
      <c r="E297" t="s">
        <v>822</v>
      </c>
      <c r="F297">
        <v>2024</v>
      </c>
      <c r="G297" t="s">
        <v>573</v>
      </c>
      <c r="H297" t="s">
        <v>24</v>
      </c>
      <c r="I297" t="s">
        <v>44</v>
      </c>
      <c r="J297">
        <v>14.7</v>
      </c>
      <c r="K297">
        <v>4085</v>
      </c>
      <c r="L297" t="s">
        <v>68</v>
      </c>
      <c r="M297" t="s">
        <v>37</v>
      </c>
      <c r="N297" t="s">
        <v>62</v>
      </c>
      <c r="O297" t="s">
        <v>118</v>
      </c>
      <c r="P297" t="s">
        <v>47</v>
      </c>
      <c r="Q297">
        <v>7.5</v>
      </c>
      <c r="R297">
        <v>2</v>
      </c>
    </row>
    <row r="298" spans="1:18" x14ac:dyDescent="0.3">
      <c r="A298" t="s">
        <v>823</v>
      </c>
      <c r="B298" t="s">
        <v>19</v>
      </c>
      <c r="C298" t="s">
        <v>112</v>
      </c>
      <c r="D298" t="s">
        <v>50</v>
      </c>
      <c r="E298" t="s">
        <v>824</v>
      </c>
      <c r="F298">
        <v>2015</v>
      </c>
      <c r="G298" t="s">
        <v>360</v>
      </c>
      <c r="H298" t="s">
        <v>24</v>
      </c>
      <c r="I298" t="s">
        <v>25</v>
      </c>
      <c r="J298">
        <v>3.5</v>
      </c>
      <c r="K298">
        <v>24930</v>
      </c>
      <c r="L298" t="s">
        <v>36</v>
      </c>
      <c r="M298" t="s">
        <v>37</v>
      </c>
      <c r="N298" t="s">
        <v>62</v>
      </c>
      <c r="O298" t="s">
        <v>29</v>
      </c>
      <c r="P298" t="s">
        <v>86</v>
      </c>
      <c r="Q298">
        <v>8.1999999999999993</v>
      </c>
      <c r="R298">
        <v>11</v>
      </c>
    </row>
    <row r="299" spans="1:18" x14ac:dyDescent="0.3">
      <c r="A299" t="s">
        <v>825</v>
      </c>
      <c r="B299" t="s">
        <v>58</v>
      </c>
      <c r="C299" t="s">
        <v>76</v>
      </c>
      <c r="D299" t="s">
        <v>82</v>
      </c>
      <c r="E299" t="s">
        <v>826</v>
      </c>
      <c r="F299">
        <v>2016</v>
      </c>
      <c r="G299" t="s">
        <v>617</v>
      </c>
      <c r="H299" t="s">
        <v>24</v>
      </c>
      <c r="I299" t="s">
        <v>85</v>
      </c>
      <c r="J299">
        <v>12.6</v>
      </c>
      <c r="K299">
        <v>32842</v>
      </c>
      <c r="L299" t="s">
        <v>36</v>
      </c>
      <c r="M299" t="s">
        <v>54</v>
      </c>
      <c r="N299" t="s">
        <v>28</v>
      </c>
      <c r="O299" t="s">
        <v>29</v>
      </c>
      <c r="P299" t="s">
        <v>38</v>
      </c>
      <c r="Q299">
        <v>7.4</v>
      </c>
      <c r="R299">
        <v>10</v>
      </c>
    </row>
    <row r="300" spans="1:18" x14ac:dyDescent="0.3">
      <c r="A300" t="s">
        <v>827</v>
      </c>
      <c r="B300" t="s">
        <v>58</v>
      </c>
      <c r="C300" t="s">
        <v>32</v>
      </c>
      <c r="D300" t="s">
        <v>82</v>
      </c>
      <c r="E300" t="s">
        <v>828</v>
      </c>
      <c r="F300">
        <v>2016</v>
      </c>
      <c r="G300" t="s">
        <v>389</v>
      </c>
      <c r="H300" t="s">
        <v>35</v>
      </c>
      <c r="I300" t="s">
        <v>25</v>
      </c>
      <c r="J300">
        <v>8.1999999999999993</v>
      </c>
      <c r="K300">
        <v>41563</v>
      </c>
      <c r="L300" t="s">
        <v>36</v>
      </c>
      <c r="M300" t="s">
        <v>37</v>
      </c>
      <c r="N300" t="s">
        <v>62</v>
      </c>
      <c r="O300" t="s">
        <v>29</v>
      </c>
      <c r="P300" t="s">
        <v>38</v>
      </c>
      <c r="Q300">
        <v>8.9</v>
      </c>
      <c r="R300">
        <v>10</v>
      </c>
    </row>
    <row r="301" spans="1:18" x14ac:dyDescent="0.3">
      <c r="A301" t="s">
        <v>829</v>
      </c>
      <c r="B301" t="s">
        <v>58</v>
      </c>
      <c r="C301" t="s">
        <v>76</v>
      </c>
      <c r="D301" t="s">
        <v>41</v>
      </c>
      <c r="E301" t="s">
        <v>830</v>
      </c>
      <c r="F301">
        <v>2025</v>
      </c>
      <c r="G301" t="s">
        <v>645</v>
      </c>
      <c r="H301" t="s">
        <v>96</v>
      </c>
      <c r="I301" t="s">
        <v>85</v>
      </c>
      <c r="J301">
        <v>1.3</v>
      </c>
      <c r="K301">
        <v>18645</v>
      </c>
      <c r="L301" t="s">
        <v>101</v>
      </c>
      <c r="M301" t="s">
        <v>37</v>
      </c>
      <c r="N301" t="s">
        <v>28</v>
      </c>
      <c r="O301" t="s">
        <v>46</v>
      </c>
      <c r="P301" t="s">
        <v>38</v>
      </c>
      <c r="Q301">
        <v>5.5</v>
      </c>
      <c r="R301">
        <v>1</v>
      </c>
    </row>
    <row r="302" spans="1:18" x14ac:dyDescent="0.3">
      <c r="A302" t="s">
        <v>831</v>
      </c>
      <c r="B302" t="s">
        <v>49</v>
      </c>
      <c r="C302" t="s">
        <v>64</v>
      </c>
      <c r="D302" t="s">
        <v>65</v>
      </c>
      <c r="E302" t="s">
        <v>832</v>
      </c>
      <c r="F302">
        <v>2025</v>
      </c>
      <c r="G302" t="s">
        <v>244</v>
      </c>
      <c r="H302" t="s">
        <v>96</v>
      </c>
      <c r="I302" t="s">
        <v>100</v>
      </c>
      <c r="J302">
        <v>9.6999999999999993</v>
      </c>
      <c r="K302">
        <v>42016</v>
      </c>
      <c r="L302" t="s">
        <v>26</v>
      </c>
      <c r="M302" t="s">
        <v>27</v>
      </c>
      <c r="N302" t="s">
        <v>62</v>
      </c>
      <c r="O302" t="s">
        <v>46</v>
      </c>
      <c r="P302" t="s">
        <v>56</v>
      </c>
      <c r="Q302">
        <v>5.0999999999999996</v>
      </c>
      <c r="R302">
        <v>1</v>
      </c>
    </row>
    <row r="303" spans="1:18" x14ac:dyDescent="0.3">
      <c r="A303" t="s">
        <v>833</v>
      </c>
      <c r="B303" t="s">
        <v>58</v>
      </c>
      <c r="C303" t="s">
        <v>64</v>
      </c>
      <c r="D303" t="s">
        <v>50</v>
      </c>
      <c r="E303" t="s">
        <v>834</v>
      </c>
      <c r="F303">
        <v>2024</v>
      </c>
      <c r="G303" t="s">
        <v>344</v>
      </c>
      <c r="H303" t="s">
        <v>35</v>
      </c>
      <c r="I303" t="s">
        <v>100</v>
      </c>
      <c r="J303">
        <v>1.5</v>
      </c>
      <c r="K303">
        <v>43665</v>
      </c>
      <c r="L303" t="s">
        <v>73</v>
      </c>
      <c r="M303" t="s">
        <v>27</v>
      </c>
      <c r="N303" t="s">
        <v>55</v>
      </c>
      <c r="O303" t="s">
        <v>29</v>
      </c>
      <c r="P303" t="s">
        <v>30</v>
      </c>
      <c r="Q303">
        <v>7.6</v>
      </c>
      <c r="R303">
        <v>2</v>
      </c>
    </row>
    <row r="304" spans="1:18" x14ac:dyDescent="0.3">
      <c r="A304" t="s">
        <v>835</v>
      </c>
      <c r="B304" t="s">
        <v>70</v>
      </c>
      <c r="C304" t="s">
        <v>20</v>
      </c>
      <c r="D304" t="s">
        <v>41</v>
      </c>
      <c r="E304" t="s">
        <v>836</v>
      </c>
      <c r="F304">
        <v>2019</v>
      </c>
      <c r="G304" t="s">
        <v>95</v>
      </c>
      <c r="H304" t="s">
        <v>35</v>
      </c>
      <c r="I304" t="s">
        <v>100</v>
      </c>
      <c r="J304">
        <v>11.8</v>
      </c>
      <c r="K304">
        <v>27929</v>
      </c>
      <c r="L304" t="s">
        <v>73</v>
      </c>
      <c r="M304" t="s">
        <v>80</v>
      </c>
      <c r="N304" t="s">
        <v>55</v>
      </c>
      <c r="O304" t="s">
        <v>118</v>
      </c>
      <c r="P304" t="s">
        <v>74</v>
      </c>
      <c r="Q304">
        <v>4.8</v>
      </c>
      <c r="R304">
        <v>7</v>
      </c>
    </row>
    <row r="305" spans="1:18" x14ac:dyDescent="0.3">
      <c r="A305" t="s">
        <v>837</v>
      </c>
      <c r="B305" t="s">
        <v>70</v>
      </c>
      <c r="C305" t="s">
        <v>112</v>
      </c>
      <c r="D305" t="s">
        <v>82</v>
      </c>
      <c r="E305" t="s">
        <v>838</v>
      </c>
      <c r="F305">
        <v>2021</v>
      </c>
      <c r="G305" t="s">
        <v>264</v>
      </c>
      <c r="H305" t="s">
        <v>35</v>
      </c>
      <c r="I305" t="s">
        <v>44</v>
      </c>
      <c r="J305">
        <v>2.2999999999999998</v>
      </c>
      <c r="K305">
        <v>28523</v>
      </c>
      <c r="L305" t="s">
        <v>26</v>
      </c>
      <c r="M305" t="s">
        <v>80</v>
      </c>
      <c r="N305" t="s">
        <v>28</v>
      </c>
      <c r="O305" t="s">
        <v>46</v>
      </c>
      <c r="P305" t="s">
        <v>74</v>
      </c>
      <c r="Q305">
        <v>6.6</v>
      </c>
      <c r="R305">
        <v>5</v>
      </c>
    </row>
    <row r="306" spans="1:18" x14ac:dyDescent="0.3">
      <c r="A306" t="s">
        <v>839</v>
      </c>
      <c r="B306" t="s">
        <v>40</v>
      </c>
      <c r="C306" t="s">
        <v>76</v>
      </c>
      <c r="D306" t="s">
        <v>77</v>
      </c>
      <c r="E306" t="s">
        <v>840</v>
      </c>
      <c r="F306">
        <v>2022</v>
      </c>
      <c r="G306" t="s">
        <v>622</v>
      </c>
      <c r="H306" t="s">
        <v>24</v>
      </c>
      <c r="I306" t="s">
        <v>44</v>
      </c>
      <c r="J306">
        <v>14.8</v>
      </c>
      <c r="K306">
        <v>31283</v>
      </c>
      <c r="L306" t="s">
        <v>68</v>
      </c>
      <c r="M306" t="s">
        <v>27</v>
      </c>
      <c r="N306" t="s">
        <v>62</v>
      </c>
      <c r="O306" t="s">
        <v>46</v>
      </c>
      <c r="P306" t="s">
        <v>86</v>
      </c>
      <c r="Q306">
        <v>7.3</v>
      </c>
      <c r="R306">
        <v>4</v>
      </c>
    </row>
    <row r="307" spans="1:18" x14ac:dyDescent="0.3">
      <c r="A307" t="s">
        <v>841</v>
      </c>
      <c r="B307" t="s">
        <v>40</v>
      </c>
      <c r="C307" t="s">
        <v>112</v>
      </c>
      <c r="D307" t="s">
        <v>77</v>
      </c>
      <c r="E307" t="s">
        <v>842</v>
      </c>
      <c r="F307">
        <v>2015</v>
      </c>
      <c r="G307" t="s">
        <v>504</v>
      </c>
      <c r="H307" t="s">
        <v>24</v>
      </c>
      <c r="I307" t="s">
        <v>25</v>
      </c>
      <c r="J307">
        <v>17.399999999999999</v>
      </c>
      <c r="K307">
        <v>20635</v>
      </c>
      <c r="L307" t="s">
        <v>45</v>
      </c>
      <c r="M307" t="s">
        <v>37</v>
      </c>
      <c r="N307" t="s">
        <v>62</v>
      </c>
      <c r="O307" t="s">
        <v>29</v>
      </c>
      <c r="P307" t="s">
        <v>30</v>
      </c>
      <c r="Q307">
        <v>9</v>
      </c>
      <c r="R307">
        <v>11</v>
      </c>
    </row>
    <row r="308" spans="1:18" x14ac:dyDescent="0.3">
      <c r="A308" t="s">
        <v>843</v>
      </c>
      <c r="B308" t="s">
        <v>58</v>
      </c>
      <c r="C308" t="s">
        <v>112</v>
      </c>
      <c r="D308" t="s">
        <v>77</v>
      </c>
      <c r="E308" t="s">
        <v>844</v>
      </c>
      <c r="F308">
        <v>2021</v>
      </c>
      <c r="G308" t="s">
        <v>395</v>
      </c>
      <c r="H308" t="s">
        <v>35</v>
      </c>
      <c r="I308" t="s">
        <v>61</v>
      </c>
      <c r="J308">
        <v>2.6</v>
      </c>
      <c r="K308">
        <v>27248</v>
      </c>
      <c r="L308" t="s">
        <v>73</v>
      </c>
      <c r="M308" t="s">
        <v>27</v>
      </c>
      <c r="N308" t="s">
        <v>28</v>
      </c>
      <c r="O308" t="s">
        <v>46</v>
      </c>
      <c r="P308" t="s">
        <v>86</v>
      </c>
      <c r="Q308">
        <v>1.5</v>
      </c>
      <c r="R308">
        <v>5</v>
      </c>
    </row>
    <row r="309" spans="1:18" x14ac:dyDescent="0.3">
      <c r="A309" t="s">
        <v>845</v>
      </c>
      <c r="B309" t="s">
        <v>49</v>
      </c>
      <c r="C309" t="s">
        <v>112</v>
      </c>
      <c r="D309" t="s">
        <v>50</v>
      </c>
      <c r="E309" t="s">
        <v>846</v>
      </c>
      <c r="F309">
        <v>2020</v>
      </c>
      <c r="G309" t="s">
        <v>139</v>
      </c>
      <c r="H309" t="s">
        <v>96</v>
      </c>
      <c r="I309" t="s">
        <v>85</v>
      </c>
      <c r="J309">
        <v>12</v>
      </c>
      <c r="K309">
        <v>34543</v>
      </c>
      <c r="L309" t="s">
        <v>73</v>
      </c>
      <c r="M309" t="s">
        <v>27</v>
      </c>
      <c r="N309" t="s">
        <v>28</v>
      </c>
      <c r="O309" t="s">
        <v>46</v>
      </c>
      <c r="P309" t="s">
        <v>38</v>
      </c>
      <c r="Q309">
        <v>1</v>
      </c>
      <c r="R309">
        <v>6</v>
      </c>
    </row>
    <row r="310" spans="1:18" x14ac:dyDescent="0.3">
      <c r="A310" t="s">
        <v>847</v>
      </c>
      <c r="B310" t="s">
        <v>58</v>
      </c>
      <c r="C310" t="s">
        <v>32</v>
      </c>
      <c r="D310" t="s">
        <v>50</v>
      </c>
      <c r="E310" t="s">
        <v>848</v>
      </c>
      <c r="F310">
        <v>2020</v>
      </c>
      <c r="G310" t="s">
        <v>597</v>
      </c>
      <c r="H310" t="s">
        <v>96</v>
      </c>
      <c r="I310" t="s">
        <v>61</v>
      </c>
      <c r="J310">
        <v>12.6</v>
      </c>
      <c r="K310">
        <v>12880</v>
      </c>
      <c r="L310" t="s">
        <v>101</v>
      </c>
      <c r="M310" t="s">
        <v>54</v>
      </c>
      <c r="N310" t="s">
        <v>28</v>
      </c>
      <c r="O310" t="s">
        <v>118</v>
      </c>
      <c r="P310" t="s">
        <v>38</v>
      </c>
      <c r="Q310">
        <v>6.2</v>
      </c>
      <c r="R310">
        <v>6</v>
      </c>
    </row>
    <row r="311" spans="1:18" x14ac:dyDescent="0.3">
      <c r="A311" t="s">
        <v>849</v>
      </c>
      <c r="B311" t="s">
        <v>58</v>
      </c>
      <c r="C311" t="s">
        <v>76</v>
      </c>
      <c r="D311" t="s">
        <v>93</v>
      </c>
      <c r="E311" t="s">
        <v>850</v>
      </c>
      <c r="F311">
        <v>2019</v>
      </c>
      <c r="G311" t="s">
        <v>91</v>
      </c>
      <c r="H311" t="s">
        <v>96</v>
      </c>
      <c r="I311" t="s">
        <v>61</v>
      </c>
      <c r="J311">
        <v>5.3</v>
      </c>
      <c r="K311">
        <v>23969</v>
      </c>
      <c r="L311" t="s">
        <v>68</v>
      </c>
      <c r="M311" t="s">
        <v>27</v>
      </c>
      <c r="N311" t="s">
        <v>28</v>
      </c>
      <c r="O311" t="s">
        <v>29</v>
      </c>
      <c r="P311" t="s">
        <v>47</v>
      </c>
      <c r="Q311">
        <v>6.2</v>
      </c>
      <c r="R311">
        <v>7</v>
      </c>
    </row>
    <row r="312" spans="1:18" x14ac:dyDescent="0.3">
      <c r="A312" t="s">
        <v>851</v>
      </c>
      <c r="B312" t="s">
        <v>70</v>
      </c>
      <c r="C312" t="s">
        <v>32</v>
      </c>
      <c r="D312" t="s">
        <v>50</v>
      </c>
      <c r="E312" t="s">
        <v>852</v>
      </c>
      <c r="F312">
        <v>2025</v>
      </c>
      <c r="G312" t="s">
        <v>455</v>
      </c>
      <c r="H312" t="s">
        <v>24</v>
      </c>
      <c r="I312" t="s">
        <v>25</v>
      </c>
      <c r="J312">
        <v>16.899999999999999</v>
      </c>
      <c r="K312">
        <v>42956</v>
      </c>
      <c r="L312" t="s">
        <v>73</v>
      </c>
      <c r="M312" t="s">
        <v>54</v>
      </c>
      <c r="N312" t="s">
        <v>28</v>
      </c>
      <c r="O312" t="s">
        <v>46</v>
      </c>
      <c r="P312" t="s">
        <v>38</v>
      </c>
      <c r="Q312">
        <v>3.3</v>
      </c>
      <c r="R312">
        <v>1</v>
      </c>
    </row>
    <row r="313" spans="1:18" x14ac:dyDescent="0.3">
      <c r="A313" t="s">
        <v>853</v>
      </c>
      <c r="B313" t="s">
        <v>40</v>
      </c>
      <c r="C313" t="s">
        <v>64</v>
      </c>
      <c r="D313" t="s">
        <v>93</v>
      </c>
      <c r="E313" t="s">
        <v>854</v>
      </c>
      <c r="F313">
        <v>2019</v>
      </c>
      <c r="G313" t="s">
        <v>341</v>
      </c>
      <c r="H313" t="s">
        <v>35</v>
      </c>
      <c r="I313" t="s">
        <v>25</v>
      </c>
      <c r="J313">
        <v>6.1</v>
      </c>
      <c r="K313">
        <v>9063</v>
      </c>
      <c r="L313" t="s">
        <v>68</v>
      </c>
      <c r="M313" t="s">
        <v>27</v>
      </c>
      <c r="N313" t="s">
        <v>62</v>
      </c>
      <c r="O313" t="s">
        <v>46</v>
      </c>
      <c r="P313" t="s">
        <v>38</v>
      </c>
      <c r="Q313">
        <v>7.2</v>
      </c>
      <c r="R313">
        <v>7</v>
      </c>
    </row>
    <row r="314" spans="1:18" x14ac:dyDescent="0.3">
      <c r="A314" t="s">
        <v>855</v>
      </c>
      <c r="B314" t="s">
        <v>49</v>
      </c>
      <c r="C314" t="s">
        <v>20</v>
      </c>
      <c r="D314" t="s">
        <v>50</v>
      </c>
      <c r="E314" t="s">
        <v>856</v>
      </c>
      <c r="F314">
        <v>2024</v>
      </c>
      <c r="G314" t="s">
        <v>162</v>
      </c>
      <c r="H314" t="s">
        <v>24</v>
      </c>
      <c r="I314" t="s">
        <v>44</v>
      </c>
      <c r="J314">
        <v>9.6</v>
      </c>
      <c r="K314">
        <v>3156</v>
      </c>
      <c r="L314" t="s">
        <v>36</v>
      </c>
      <c r="M314" t="s">
        <v>54</v>
      </c>
      <c r="N314" t="s">
        <v>28</v>
      </c>
      <c r="O314" t="s">
        <v>46</v>
      </c>
      <c r="P314" t="s">
        <v>30</v>
      </c>
      <c r="Q314">
        <v>2.4</v>
      </c>
      <c r="R314">
        <v>2</v>
      </c>
    </row>
    <row r="315" spans="1:18" x14ac:dyDescent="0.3">
      <c r="A315" t="s">
        <v>857</v>
      </c>
      <c r="B315" t="s">
        <v>70</v>
      </c>
      <c r="C315" t="s">
        <v>64</v>
      </c>
      <c r="D315" t="s">
        <v>50</v>
      </c>
      <c r="E315" t="s">
        <v>858</v>
      </c>
      <c r="F315">
        <v>2016</v>
      </c>
      <c r="G315" t="s">
        <v>430</v>
      </c>
      <c r="H315" t="s">
        <v>24</v>
      </c>
      <c r="I315" t="s">
        <v>53</v>
      </c>
      <c r="J315">
        <v>4.0999999999999996</v>
      </c>
      <c r="K315">
        <v>36966</v>
      </c>
      <c r="L315" t="s">
        <v>26</v>
      </c>
      <c r="M315" t="s">
        <v>37</v>
      </c>
      <c r="N315" t="s">
        <v>55</v>
      </c>
      <c r="O315" t="s">
        <v>29</v>
      </c>
      <c r="P315" t="s">
        <v>74</v>
      </c>
      <c r="Q315">
        <v>8.6999999999999993</v>
      </c>
      <c r="R315">
        <v>10</v>
      </c>
    </row>
    <row r="316" spans="1:18" x14ac:dyDescent="0.3">
      <c r="A316" t="s">
        <v>859</v>
      </c>
      <c r="B316" t="s">
        <v>40</v>
      </c>
      <c r="C316" t="s">
        <v>32</v>
      </c>
      <c r="D316" t="s">
        <v>82</v>
      </c>
      <c r="E316" t="s">
        <v>860</v>
      </c>
      <c r="F316">
        <v>2025</v>
      </c>
      <c r="G316" t="s">
        <v>622</v>
      </c>
      <c r="H316" t="s">
        <v>24</v>
      </c>
      <c r="I316" t="s">
        <v>25</v>
      </c>
      <c r="J316">
        <v>5.5</v>
      </c>
      <c r="K316">
        <v>4578</v>
      </c>
      <c r="L316" t="s">
        <v>36</v>
      </c>
      <c r="M316" t="s">
        <v>27</v>
      </c>
      <c r="N316" t="s">
        <v>55</v>
      </c>
      <c r="O316" t="s">
        <v>46</v>
      </c>
      <c r="P316" t="s">
        <v>86</v>
      </c>
      <c r="Q316">
        <v>9.6999999999999993</v>
      </c>
      <c r="R316">
        <v>1</v>
      </c>
    </row>
    <row r="317" spans="1:18" x14ac:dyDescent="0.3">
      <c r="A317" t="s">
        <v>861</v>
      </c>
      <c r="B317" t="s">
        <v>70</v>
      </c>
      <c r="C317" t="s">
        <v>64</v>
      </c>
      <c r="D317" t="s">
        <v>93</v>
      </c>
      <c r="E317" t="s">
        <v>862</v>
      </c>
      <c r="F317">
        <v>2014</v>
      </c>
      <c r="G317" t="s">
        <v>820</v>
      </c>
      <c r="H317" t="s">
        <v>96</v>
      </c>
      <c r="I317" t="s">
        <v>85</v>
      </c>
      <c r="J317">
        <v>15</v>
      </c>
      <c r="K317">
        <v>43035</v>
      </c>
      <c r="L317" t="s">
        <v>101</v>
      </c>
      <c r="M317" t="s">
        <v>37</v>
      </c>
      <c r="N317" t="s">
        <v>62</v>
      </c>
      <c r="O317" t="s">
        <v>46</v>
      </c>
      <c r="P317" t="s">
        <v>38</v>
      </c>
      <c r="Q317">
        <v>6.2</v>
      </c>
      <c r="R317">
        <v>12</v>
      </c>
    </row>
    <row r="318" spans="1:18" x14ac:dyDescent="0.3">
      <c r="A318" t="s">
        <v>863</v>
      </c>
      <c r="B318" t="s">
        <v>70</v>
      </c>
      <c r="C318" t="s">
        <v>76</v>
      </c>
      <c r="D318" t="s">
        <v>21</v>
      </c>
      <c r="E318" t="s">
        <v>864</v>
      </c>
      <c r="F318">
        <v>2025</v>
      </c>
      <c r="G318" t="s">
        <v>560</v>
      </c>
      <c r="H318" t="s">
        <v>96</v>
      </c>
      <c r="I318" t="s">
        <v>44</v>
      </c>
      <c r="J318">
        <v>3.8</v>
      </c>
      <c r="K318">
        <v>12889</v>
      </c>
      <c r="L318" t="s">
        <v>101</v>
      </c>
      <c r="M318" t="s">
        <v>80</v>
      </c>
      <c r="N318" t="s">
        <v>55</v>
      </c>
      <c r="O318" t="s">
        <v>29</v>
      </c>
      <c r="P318" t="s">
        <v>47</v>
      </c>
      <c r="Q318">
        <v>3.2</v>
      </c>
      <c r="R318">
        <v>1</v>
      </c>
    </row>
    <row r="319" spans="1:18" x14ac:dyDescent="0.3">
      <c r="A319" t="s">
        <v>865</v>
      </c>
      <c r="B319" t="s">
        <v>40</v>
      </c>
      <c r="C319" t="s">
        <v>32</v>
      </c>
      <c r="D319" t="s">
        <v>50</v>
      </c>
      <c r="E319" t="s">
        <v>866</v>
      </c>
      <c r="F319">
        <v>2018</v>
      </c>
      <c r="G319" t="s">
        <v>645</v>
      </c>
      <c r="H319" t="s">
        <v>24</v>
      </c>
      <c r="I319" t="s">
        <v>53</v>
      </c>
      <c r="J319">
        <v>8.6999999999999993</v>
      </c>
      <c r="K319">
        <v>11645</v>
      </c>
      <c r="L319" t="s">
        <v>26</v>
      </c>
      <c r="M319" t="s">
        <v>54</v>
      </c>
      <c r="N319" t="s">
        <v>55</v>
      </c>
      <c r="O319" t="s">
        <v>46</v>
      </c>
      <c r="P319" t="s">
        <v>30</v>
      </c>
      <c r="Q319">
        <v>7.8</v>
      </c>
      <c r="R319">
        <v>8</v>
      </c>
    </row>
    <row r="320" spans="1:18" x14ac:dyDescent="0.3">
      <c r="A320" t="s">
        <v>867</v>
      </c>
      <c r="B320" t="s">
        <v>70</v>
      </c>
      <c r="C320" t="s">
        <v>76</v>
      </c>
      <c r="D320" t="s">
        <v>50</v>
      </c>
      <c r="E320" t="s">
        <v>868</v>
      </c>
      <c r="F320">
        <v>2024</v>
      </c>
      <c r="G320" t="s">
        <v>365</v>
      </c>
      <c r="H320" t="s">
        <v>35</v>
      </c>
      <c r="I320" t="s">
        <v>53</v>
      </c>
      <c r="J320">
        <v>1.8</v>
      </c>
      <c r="K320">
        <v>22331</v>
      </c>
      <c r="L320" t="s">
        <v>45</v>
      </c>
      <c r="M320" t="s">
        <v>54</v>
      </c>
      <c r="N320" t="s">
        <v>28</v>
      </c>
      <c r="O320" t="s">
        <v>46</v>
      </c>
      <c r="P320" t="s">
        <v>30</v>
      </c>
      <c r="Q320">
        <v>8</v>
      </c>
      <c r="R320">
        <v>2</v>
      </c>
    </row>
    <row r="321" spans="1:18" x14ac:dyDescent="0.3">
      <c r="A321" t="s">
        <v>869</v>
      </c>
      <c r="B321" t="s">
        <v>49</v>
      </c>
      <c r="C321" t="s">
        <v>32</v>
      </c>
      <c r="D321" t="s">
        <v>82</v>
      </c>
      <c r="E321" t="s">
        <v>870</v>
      </c>
      <c r="F321">
        <v>2016</v>
      </c>
      <c r="G321" t="s">
        <v>392</v>
      </c>
      <c r="H321" t="s">
        <v>24</v>
      </c>
      <c r="I321" t="s">
        <v>61</v>
      </c>
      <c r="J321">
        <v>16</v>
      </c>
      <c r="K321">
        <v>44972</v>
      </c>
      <c r="L321" t="s">
        <v>68</v>
      </c>
      <c r="M321" t="s">
        <v>37</v>
      </c>
      <c r="N321" t="s">
        <v>55</v>
      </c>
      <c r="O321" t="s">
        <v>118</v>
      </c>
      <c r="P321" t="s">
        <v>56</v>
      </c>
      <c r="Q321">
        <v>9.5</v>
      </c>
      <c r="R321">
        <v>10</v>
      </c>
    </row>
    <row r="322" spans="1:18" x14ac:dyDescent="0.3">
      <c r="A322" t="s">
        <v>871</v>
      </c>
      <c r="B322" t="s">
        <v>58</v>
      </c>
      <c r="C322" t="s">
        <v>32</v>
      </c>
      <c r="D322" t="s">
        <v>50</v>
      </c>
      <c r="E322" t="s">
        <v>872</v>
      </c>
      <c r="F322">
        <v>2023</v>
      </c>
      <c r="G322" t="s">
        <v>662</v>
      </c>
      <c r="H322" t="s">
        <v>35</v>
      </c>
      <c r="I322" t="s">
        <v>25</v>
      </c>
      <c r="J322">
        <v>0.7</v>
      </c>
      <c r="K322">
        <v>24175</v>
      </c>
      <c r="L322" t="s">
        <v>36</v>
      </c>
      <c r="M322" t="s">
        <v>54</v>
      </c>
      <c r="N322" t="s">
        <v>62</v>
      </c>
      <c r="O322" t="s">
        <v>46</v>
      </c>
      <c r="P322" t="s">
        <v>74</v>
      </c>
      <c r="Q322">
        <v>2.8</v>
      </c>
      <c r="R322">
        <v>3</v>
      </c>
    </row>
    <row r="323" spans="1:18" x14ac:dyDescent="0.3">
      <c r="A323" t="s">
        <v>873</v>
      </c>
      <c r="B323" t="s">
        <v>70</v>
      </c>
      <c r="C323" t="s">
        <v>76</v>
      </c>
      <c r="D323" t="s">
        <v>50</v>
      </c>
      <c r="E323" t="s">
        <v>874</v>
      </c>
      <c r="F323">
        <v>2014</v>
      </c>
      <c r="G323" t="s">
        <v>670</v>
      </c>
      <c r="H323" t="s">
        <v>96</v>
      </c>
      <c r="I323" t="s">
        <v>85</v>
      </c>
      <c r="J323">
        <v>5</v>
      </c>
      <c r="K323">
        <v>20035</v>
      </c>
      <c r="L323" t="s">
        <v>26</v>
      </c>
      <c r="M323" t="s">
        <v>37</v>
      </c>
      <c r="N323" t="s">
        <v>62</v>
      </c>
      <c r="O323" t="s">
        <v>46</v>
      </c>
      <c r="P323" t="s">
        <v>47</v>
      </c>
      <c r="Q323">
        <v>5.0999999999999996</v>
      </c>
      <c r="R323">
        <v>12</v>
      </c>
    </row>
    <row r="324" spans="1:18" x14ac:dyDescent="0.3">
      <c r="A324" t="s">
        <v>875</v>
      </c>
      <c r="B324" t="s">
        <v>40</v>
      </c>
      <c r="C324" t="s">
        <v>20</v>
      </c>
      <c r="D324" t="s">
        <v>93</v>
      </c>
      <c r="E324" t="s">
        <v>876</v>
      </c>
      <c r="F324">
        <v>2018</v>
      </c>
      <c r="G324" t="s">
        <v>206</v>
      </c>
      <c r="H324" t="s">
        <v>24</v>
      </c>
      <c r="I324" t="s">
        <v>44</v>
      </c>
      <c r="J324">
        <v>3.4</v>
      </c>
      <c r="K324">
        <v>36756</v>
      </c>
      <c r="L324" t="s">
        <v>45</v>
      </c>
      <c r="M324" t="s">
        <v>80</v>
      </c>
      <c r="N324" t="s">
        <v>62</v>
      </c>
      <c r="O324" t="s">
        <v>29</v>
      </c>
      <c r="P324" t="s">
        <v>56</v>
      </c>
      <c r="Q324">
        <v>6.9</v>
      </c>
      <c r="R324">
        <v>8</v>
      </c>
    </row>
    <row r="325" spans="1:18" x14ac:dyDescent="0.3">
      <c r="A325" t="s">
        <v>877</v>
      </c>
      <c r="B325" t="s">
        <v>58</v>
      </c>
      <c r="C325" t="s">
        <v>112</v>
      </c>
      <c r="D325" t="s">
        <v>21</v>
      </c>
      <c r="E325" t="s">
        <v>878</v>
      </c>
      <c r="F325">
        <v>2017</v>
      </c>
      <c r="G325" t="s">
        <v>275</v>
      </c>
      <c r="H325" t="s">
        <v>35</v>
      </c>
      <c r="I325" t="s">
        <v>25</v>
      </c>
      <c r="J325">
        <v>15.9</v>
      </c>
      <c r="K325">
        <v>30023</v>
      </c>
      <c r="L325" t="s">
        <v>101</v>
      </c>
      <c r="M325" t="s">
        <v>80</v>
      </c>
      <c r="N325" t="s">
        <v>62</v>
      </c>
      <c r="O325" t="s">
        <v>46</v>
      </c>
      <c r="P325" t="s">
        <v>56</v>
      </c>
      <c r="Q325">
        <v>0.7</v>
      </c>
      <c r="R325">
        <v>9</v>
      </c>
    </row>
    <row r="326" spans="1:18" x14ac:dyDescent="0.3">
      <c r="A326" t="s">
        <v>879</v>
      </c>
      <c r="B326" t="s">
        <v>19</v>
      </c>
      <c r="C326" t="s">
        <v>112</v>
      </c>
      <c r="D326" t="s">
        <v>41</v>
      </c>
      <c r="E326" t="s">
        <v>880</v>
      </c>
      <c r="F326">
        <v>2025</v>
      </c>
      <c r="G326" t="s">
        <v>269</v>
      </c>
      <c r="H326" t="s">
        <v>24</v>
      </c>
      <c r="I326" t="s">
        <v>53</v>
      </c>
      <c r="J326">
        <v>10.3</v>
      </c>
      <c r="K326">
        <v>39180</v>
      </c>
      <c r="L326" t="s">
        <v>73</v>
      </c>
      <c r="M326" t="s">
        <v>37</v>
      </c>
      <c r="N326" t="s">
        <v>55</v>
      </c>
      <c r="O326" t="s">
        <v>118</v>
      </c>
      <c r="P326" t="s">
        <v>47</v>
      </c>
      <c r="Q326">
        <v>6.5</v>
      </c>
      <c r="R326">
        <v>1</v>
      </c>
    </row>
    <row r="327" spans="1:18" x14ac:dyDescent="0.3">
      <c r="A327" t="s">
        <v>881</v>
      </c>
      <c r="B327" t="s">
        <v>19</v>
      </c>
      <c r="C327" t="s">
        <v>76</v>
      </c>
      <c r="D327" t="s">
        <v>65</v>
      </c>
      <c r="E327" t="s">
        <v>882</v>
      </c>
      <c r="F327">
        <v>2020</v>
      </c>
      <c r="G327" t="s">
        <v>427</v>
      </c>
      <c r="H327" t="s">
        <v>24</v>
      </c>
      <c r="I327" t="s">
        <v>44</v>
      </c>
      <c r="J327">
        <v>11.7</v>
      </c>
      <c r="K327">
        <v>42024</v>
      </c>
      <c r="L327" t="s">
        <v>26</v>
      </c>
      <c r="M327" t="s">
        <v>80</v>
      </c>
      <c r="N327" t="s">
        <v>62</v>
      </c>
      <c r="O327" t="s">
        <v>29</v>
      </c>
      <c r="P327" t="s">
        <v>86</v>
      </c>
      <c r="Q327">
        <v>9.3000000000000007</v>
      </c>
      <c r="R327">
        <v>6</v>
      </c>
    </row>
    <row r="328" spans="1:18" x14ac:dyDescent="0.3">
      <c r="A328" t="s">
        <v>883</v>
      </c>
      <c r="B328" t="s">
        <v>70</v>
      </c>
      <c r="C328" t="s">
        <v>32</v>
      </c>
      <c r="D328" t="s">
        <v>41</v>
      </c>
      <c r="E328" t="s">
        <v>884</v>
      </c>
      <c r="F328">
        <v>2015</v>
      </c>
      <c r="G328" t="s">
        <v>347</v>
      </c>
      <c r="H328" t="s">
        <v>24</v>
      </c>
      <c r="I328" t="s">
        <v>85</v>
      </c>
      <c r="J328">
        <v>7.2</v>
      </c>
      <c r="K328">
        <v>44801</v>
      </c>
      <c r="L328" t="s">
        <v>26</v>
      </c>
      <c r="M328" t="s">
        <v>27</v>
      </c>
      <c r="N328" t="s">
        <v>28</v>
      </c>
      <c r="O328" t="s">
        <v>46</v>
      </c>
      <c r="P328" t="s">
        <v>56</v>
      </c>
      <c r="Q328">
        <v>1.8</v>
      </c>
      <c r="R328">
        <v>11</v>
      </c>
    </row>
    <row r="329" spans="1:18" x14ac:dyDescent="0.3">
      <c r="A329" t="s">
        <v>885</v>
      </c>
      <c r="B329" t="s">
        <v>49</v>
      </c>
      <c r="C329" t="s">
        <v>20</v>
      </c>
      <c r="D329" t="s">
        <v>65</v>
      </c>
      <c r="E329" t="s">
        <v>886</v>
      </c>
      <c r="F329">
        <v>2020</v>
      </c>
      <c r="G329" t="s">
        <v>640</v>
      </c>
      <c r="H329" t="s">
        <v>24</v>
      </c>
      <c r="I329" t="s">
        <v>25</v>
      </c>
      <c r="J329">
        <v>16</v>
      </c>
      <c r="K329">
        <v>43963</v>
      </c>
      <c r="L329" t="s">
        <v>68</v>
      </c>
      <c r="M329" t="s">
        <v>80</v>
      </c>
      <c r="N329" t="s">
        <v>62</v>
      </c>
      <c r="O329" t="s">
        <v>46</v>
      </c>
      <c r="P329" t="s">
        <v>56</v>
      </c>
      <c r="Q329">
        <v>1.7</v>
      </c>
      <c r="R329">
        <v>6</v>
      </c>
    </row>
    <row r="330" spans="1:18" x14ac:dyDescent="0.3">
      <c r="A330" t="s">
        <v>887</v>
      </c>
      <c r="B330" t="s">
        <v>49</v>
      </c>
      <c r="C330" t="s">
        <v>76</v>
      </c>
      <c r="D330" t="s">
        <v>93</v>
      </c>
      <c r="E330" t="s">
        <v>888</v>
      </c>
      <c r="F330">
        <v>2014</v>
      </c>
      <c r="G330" t="s">
        <v>334</v>
      </c>
      <c r="H330" t="s">
        <v>35</v>
      </c>
      <c r="I330" t="s">
        <v>44</v>
      </c>
      <c r="J330">
        <v>5.8</v>
      </c>
      <c r="K330">
        <v>24034</v>
      </c>
      <c r="L330" t="s">
        <v>73</v>
      </c>
      <c r="M330" t="s">
        <v>27</v>
      </c>
      <c r="N330" t="s">
        <v>62</v>
      </c>
      <c r="O330" t="s">
        <v>46</v>
      </c>
      <c r="P330" t="s">
        <v>56</v>
      </c>
      <c r="Q330">
        <v>2</v>
      </c>
      <c r="R330">
        <v>12</v>
      </c>
    </row>
    <row r="331" spans="1:18" x14ac:dyDescent="0.3">
      <c r="A331" t="s">
        <v>889</v>
      </c>
      <c r="B331" t="s">
        <v>70</v>
      </c>
      <c r="C331" t="s">
        <v>64</v>
      </c>
      <c r="D331" t="s">
        <v>41</v>
      </c>
      <c r="E331" t="s">
        <v>890</v>
      </c>
      <c r="F331">
        <v>2017</v>
      </c>
      <c r="G331" t="s">
        <v>365</v>
      </c>
      <c r="H331" t="s">
        <v>24</v>
      </c>
      <c r="I331" t="s">
        <v>100</v>
      </c>
      <c r="J331">
        <v>15.4</v>
      </c>
      <c r="K331">
        <v>37469</v>
      </c>
      <c r="L331" t="s">
        <v>36</v>
      </c>
      <c r="M331" t="s">
        <v>80</v>
      </c>
      <c r="N331" t="s">
        <v>55</v>
      </c>
      <c r="O331" t="s">
        <v>46</v>
      </c>
      <c r="P331" t="s">
        <v>30</v>
      </c>
      <c r="Q331">
        <v>2.9</v>
      </c>
      <c r="R331">
        <v>9</v>
      </c>
    </row>
    <row r="332" spans="1:18" x14ac:dyDescent="0.3">
      <c r="A332" t="s">
        <v>891</v>
      </c>
      <c r="B332" t="s">
        <v>49</v>
      </c>
      <c r="C332" t="s">
        <v>76</v>
      </c>
      <c r="D332" t="s">
        <v>77</v>
      </c>
      <c r="E332" t="s">
        <v>892</v>
      </c>
      <c r="F332">
        <v>2017</v>
      </c>
      <c r="G332" t="s">
        <v>583</v>
      </c>
      <c r="H332" t="s">
        <v>24</v>
      </c>
      <c r="I332" t="s">
        <v>25</v>
      </c>
      <c r="J332">
        <v>12</v>
      </c>
      <c r="K332">
        <v>8056</v>
      </c>
      <c r="L332" t="s">
        <v>68</v>
      </c>
      <c r="M332" t="s">
        <v>80</v>
      </c>
      <c r="N332" t="s">
        <v>28</v>
      </c>
      <c r="O332" t="s">
        <v>118</v>
      </c>
      <c r="P332" t="s">
        <v>47</v>
      </c>
      <c r="Q332">
        <v>4.8</v>
      </c>
      <c r="R332">
        <v>9</v>
      </c>
    </row>
    <row r="333" spans="1:18" x14ac:dyDescent="0.3">
      <c r="A333" t="s">
        <v>893</v>
      </c>
      <c r="B333" t="s">
        <v>70</v>
      </c>
      <c r="C333" t="s">
        <v>32</v>
      </c>
      <c r="D333" t="s">
        <v>21</v>
      </c>
      <c r="E333" t="s">
        <v>894</v>
      </c>
      <c r="F333">
        <v>2023</v>
      </c>
      <c r="G333" t="s">
        <v>895</v>
      </c>
      <c r="H333" t="s">
        <v>35</v>
      </c>
      <c r="I333" t="s">
        <v>53</v>
      </c>
      <c r="J333">
        <v>14.6</v>
      </c>
      <c r="K333">
        <v>29569</v>
      </c>
      <c r="L333" t="s">
        <v>73</v>
      </c>
      <c r="M333" t="s">
        <v>80</v>
      </c>
      <c r="N333" t="s">
        <v>55</v>
      </c>
      <c r="O333" t="s">
        <v>29</v>
      </c>
      <c r="P333" t="s">
        <v>56</v>
      </c>
      <c r="Q333">
        <v>7.3</v>
      </c>
      <c r="R333">
        <v>3</v>
      </c>
    </row>
    <row r="334" spans="1:18" x14ac:dyDescent="0.3">
      <c r="A334" t="s">
        <v>896</v>
      </c>
      <c r="B334" t="s">
        <v>70</v>
      </c>
      <c r="C334" t="s">
        <v>20</v>
      </c>
      <c r="D334" t="s">
        <v>21</v>
      </c>
      <c r="E334" t="s">
        <v>897</v>
      </c>
      <c r="F334">
        <v>2024</v>
      </c>
      <c r="G334" t="s">
        <v>156</v>
      </c>
      <c r="H334" t="s">
        <v>35</v>
      </c>
      <c r="I334" t="s">
        <v>53</v>
      </c>
      <c r="J334">
        <v>15.9</v>
      </c>
      <c r="K334">
        <v>31833</v>
      </c>
      <c r="L334" t="s">
        <v>36</v>
      </c>
      <c r="M334" t="s">
        <v>37</v>
      </c>
      <c r="N334" t="s">
        <v>55</v>
      </c>
      <c r="O334" t="s">
        <v>118</v>
      </c>
      <c r="P334" t="s">
        <v>74</v>
      </c>
      <c r="Q334">
        <v>1.5</v>
      </c>
      <c r="R334">
        <v>2</v>
      </c>
    </row>
    <row r="335" spans="1:18" x14ac:dyDescent="0.3">
      <c r="A335" t="s">
        <v>898</v>
      </c>
      <c r="B335" t="s">
        <v>19</v>
      </c>
      <c r="C335" t="s">
        <v>20</v>
      </c>
      <c r="D335" t="s">
        <v>50</v>
      </c>
      <c r="E335" t="s">
        <v>899</v>
      </c>
      <c r="F335">
        <v>2024</v>
      </c>
      <c r="G335" t="s">
        <v>900</v>
      </c>
      <c r="H335" t="s">
        <v>35</v>
      </c>
      <c r="I335" t="s">
        <v>100</v>
      </c>
      <c r="J335">
        <v>3.9</v>
      </c>
      <c r="K335">
        <v>42566</v>
      </c>
      <c r="L335" t="s">
        <v>26</v>
      </c>
      <c r="M335" t="s">
        <v>80</v>
      </c>
      <c r="N335" t="s">
        <v>28</v>
      </c>
      <c r="O335" t="s">
        <v>46</v>
      </c>
      <c r="P335" t="s">
        <v>38</v>
      </c>
      <c r="Q335">
        <v>0.8</v>
      </c>
      <c r="R335">
        <v>2</v>
      </c>
    </row>
    <row r="336" spans="1:18" x14ac:dyDescent="0.3">
      <c r="A336" t="s">
        <v>901</v>
      </c>
      <c r="B336" t="s">
        <v>58</v>
      </c>
      <c r="C336" t="s">
        <v>32</v>
      </c>
      <c r="D336" t="s">
        <v>21</v>
      </c>
      <c r="E336" t="s">
        <v>902</v>
      </c>
      <c r="F336">
        <v>2023</v>
      </c>
      <c r="G336" t="s">
        <v>124</v>
      </c>
      <c r="H336" t="s">
        <v>96</v>
      </c>
      <c r="I336" t="s">
        <v>100</v>
      </c>
      <c r="J336">
        <v>5.0999999999999996</v>
      </c>
      <c r="K336">
        <v>36868</v>
      </c>
      <c r="L336" t="s">
        <v>36</v>
      </c>
      <c r="M336" t="s">
        <v>54</v>
      </c>
      <c r="N336" t="s">
        <v>55</v>
      </c>
      <c r="O336" t="s">
        <v>118</v>
      </c>
      <c r="P336" t="s">
        <v>56</v>
      </c>
      <c r="Q336">
        <v>9</v>
      </c>
      <c r="R336">
        <v>3</v>
      </c>
    </row>
    <row r="337" spans="1:18" x14ac:dyDescent="0.3">
      <c r="A337" t="s">
        <v>903</v>
      </c>
      <c r="B337" t="s">
        <v>70</v>
      </c>
      <c r="C337" t="s">
        <v>64</v>
      </c>
      <c r="D337" t="s">
        <v>82</v>
      </c>
      <c r="E337" t="s">
        <v>904</v>
      </c>
      <c r="F337">
        <v>2023</v>
      </c>
      <c r="G337" t="s">
        <v>675</v>
      </c>
      <c r="H337" t="s">
        <v>35</v>
      </c>
      <c r="I337" t="s">
        <v>44</v>
      </c>
      <c r="J337">
        <v>7.4</v>
      </c>
      <c r="K337">
        <v>34410</v>
      </c>
      <c r="L337" t="s">
        <v>26</v>
      </c>
      <c r="M337" t="s">
        <v>54</v>
      </c>
      <c r="N337" t="s">
        <v>62</v>
      </c>
      <c r="O337" t="s">
        <v>46</v>
      </c>
      <c r="P337" t="s">
        <v>56</v>
      </c>
      <c r="Q337">
        <v>7.7</v>
      </c>
      <c r="R337">
        <v>3</v>
      </c>
    </row>
    <row r="338" spans="1:18" x14ac:dyDescent="0.3">
      <c r="A338" t="s">
        <v>905</v>
      </c>
      <c r="B338" t="s">
        <v>40</v>
      </c>
      <c r="C338" t="s">
        <v>64</v>
      </c>
      <c r="D338" t="s">
        <v>93</v>
      </c>
      <c r="E338" t="s">
        <v>906</v>
      </c>
      <c r="F338">
        <v>2016</v>
      </c>
      <c r="G338" t="s">
        <v>264</v>
      </c>
      <c r="H338" t="s">
        <v>96</v>
      </c>
      <c r="I338" t="s">
        <v>25</v>
      </c>
      <c r="J338">
        <v>15.8</v>
      </c>
      <c r="K338">
        <v>11081</v>
      </c>
      <c r="L338" t="s">
        <v>101</v>
      </c>
      <c r="M338" t="s">
        <v>27</v>
      </c>
      <c r="N338" t="s">
        <v>55</v>
      </c>
      <c r="O338" t="s">
        <v>29</v>
      </c>
      <c r="P338" t="s">
        <v>56</v>
      </c>
      <c r="Q338">
        <v>7.7</v>
      </c>
      <c r="R338">
        <v>10</v>
      </c>
    </row>
    <row r="339" spans="1:18" x14ac:dyDescent="0.3">
      <c r="A339" t="s">
        <v>907</v>
      </c>
      <c r="B339" t="s">
        <v>70</v>
      </c>
      <c r="C339" t="s">
        <v>20</v>
      </c>
      <c r="D339" t="s">
        <v>21</v>
      </c>
      <c r="E339" t="s">
        <v>908</v>
      </c>
      <c r="F339">
        <v>2017</v>
      </c>
      <c r="G339" t="s">
        <v>909</v>
      </c>
      <c r="H339" t="s">
        <v>24</v>
      </c>
      <c r="I339" t="s">
        <v>61</v>
      </c>
      <c r="J339">
        <v>9.6</v>
      </c>
      <c r="K339">
        <v>25174</v>
      </c>
      <c r="L339" t="s">
        <v>36</v>
      </c>
      <c r="M339" t="s">
        <v>27</v>
      </c>
      <c r="N339" t="s">
        <v>55</v>
      </c>
      <c r="O339" t="s">
        <v>29</v>
      </c>
      <c r="P339" t="s">
        <v>30</v>
      </c>
      <c r="Q339">
        <v>9.8000000000000007</v>
      </c>
      <c r="R339">
        <v>9</v>
      </c>
    </row>
    <row r="340" spans="1:18" x14ac:dyDescent="0.3">
      <c r="A340" t="s">
        <v>910</v>
      </c>
      <c r="B340" t="s">
        <v>49</v>
      </c>
      <c r="C340" t="s">
        <v>20</v>
      </c>
      <c r="D340" t="s">
        <v>50</v>
      </c>
      <c r="E340" t="s">
        <v>911</v>
      </c>
      <c r="F340">
        <v>2019</v>
      </c>
      <c r="G340" t="s">
        <v>389</v>
      </c>
      <c r="H340" t="s">
        <v>35</v>
      </c>
      <c r="I340" t="s">
        <v>100</v>
      </c>
      <c r="J340">
        <v>10</v>
      </c>
      <c r="K340">
        <v>12893</v>
      </c>
      <c r="L340" t="s">
        <v>36</v>
      </c>
      <c r="M340" t="s">
        <v>27</v>
      </c>
      <c r="N340" t="s">
        <v>55</v>
      </c>
      <c r="O340" t="s">
        <v>46</v>
      </c>
      <c r="P340" t="s">
        <v>38</v>
      </c>
      <c r="Q340">
        <v>9</v>
      </c>
      <c r="R340">
        <v>7</v>
      </c>
    </row>
    <row r="341" spans="1:18" x14ac:dyDescent="0.3">
      <c r="A341" t="s">
        <v>912</v>
      </c>
      <c r="B341" t="s">
        <v>70</v>
      </c>
      <c r="C341" t="s">
        <v>76</v>
      </c>
      <c r="D341" t="s">
        <v>21</v>
      </c>
      <c r="E341" t="s">
        <v>913</v>
      </c>
      <c r="F341">
        <v>2015</v>
      </c>
      <c r="G341" t="s">
        <v>253</v>
      </c>
      <c r="H341" t="s">
        <v>35</v>
      </c>
      <c r="I341" t="s">
        <v>53</v>
      </c>
      <c r="J341">
        <v>14.8</v>
      </c>
      <c r="K341">
        <v>24112</v>
      </c>
      <c r="L341" t="s">
        <v>36</v>
      </c>
      <c r="M341" t="s">
        <v>27</v>
      </c>
      <c r="N341" t="s">
        <v>62</v>
      </c>
      <c r="O341" t="s">
        <v>29</v>
      </c>
      <c r="P341" t="s">
        <v>74</v>
      </c>
      <c r="Q341">
        <v>8.9</v>
      </c>
      <c r="R341">
        <v>11</v>
      </c>
    </row>
    <row r="342" spans="1:18" x14ac:dyDescent="0.3">
      <c r="A342" t="s">
        <v>914</v>
      </c>
      <c r="B342" t="s">
        <v>40</v>
      </c>
      <c r="C342" t="s">
        <v>112</v>
      </c>
      <c r="D342" t="s">
        <v>93</v>
      </c>
      <c r="E342" t="s">
        <v>915</v>
      </c>
      <c r="F342">
        <v>2021</v>
      </c>
      <c r="G342" t="s">
        <v>121</v>
      </c>
      <c r="H342" t="s">
        <v>35</v>
      </c>
      <c r="I342" t="s">
        <v>61</v>
      </c>
      <c r="J342">
        <v>3.1</v>
      </c>
      <c r="K342">
        <v>11812</v>
      </c>
      <c r="L342" t="s">
        <v>68</v>
      </c>
      <c r="M342" t="s">
        <v>80</v>
      </c>
      <c r="N342" t="s">
        <v>62</v>
      </c>
      <c r="O342" t="s">
        <v>29</v>
      </c>
      <c r="P342" t="s">
        <v>47</v>
      </c>
      <c r="Q342">
        <v>8.1999999999999993</v>
      </c>
      <c r="R342">
        <v>5</v>
      </c>
    </row>
    <row r="343" spans="1:18" x14ac:dyDescent="0.3">
      <c r="A343" t="s">
        <v>916</v>
      </c>
      <c r="B343" t="s">
        <v>58</v>
      </c>
      <c r="C343" t="s">
        <v>76</v>
      </c>
      <c r="D343" t="s">
        <v>82</v>
      </c>
      <c r="E343" t="s">
        <v>917</v>
      </c>
      <c r="F343">
        <v>2025</v>
      </c>
      <c r="G343" t="s">
        <v>617</v>
      </c>
      <c r="H343" t="s">
        <v>24</v>
      </c>
      <c r="I343" t="s">
        <v>61</v>
      </c>
      <c r="J343">
        <v>11.8</v>
      </c>
      <c r="K343">
        <v>28428</v>
      </c>
      <c r="L343" t="s">
        <v>26</v>
      </c>
      <c r="M343" t="s">
        <v>54</v>
      </c>
      <c r="N343" t="s">
        <v>28</v>
      </c>
      <c r="O343" t="s">
        <v>29</v>
      </c>
      <c r="P343" t="s">
        <v>74</v>
      </c>
      <c r="Q343">
        <v>6.1</v>
      </c>
      <c r="R343">
        <v>1</v>
      </c>
    </row>
    <row r="344" spans="1:18" x14ac:dyDescent="0.3">
      <c r="A344" t="s">
        <v>918</v>
      </c>
      <c r="B344" t="s">
        <v>49</v>
      </c>
      <c r="C344" t="s">
        <v>112</v>
      </c>
      <c r="D344" t="s">
        <v>93</v>
      </c>
      <c r="E344" t="s">
        <v>919</v>
      </c>
      <c r="F344">
        <v>2016</v>
      </c>
      <c r="G344" t="s">
        <v>256</v>
      </c>
      <c r="H344" t="s">
        <v>24</v>
      </c>
      <c r="I344" t="s">
        <v>61</v>
      </c>
      <c r="J344">
        <v>5</v>
      </c>
      <c r="K344">
        <v>13298</v>
      </c>
      <c r="L344" t="s">
        <v>45</v>
      </c>
      <c r="M344" t="s">
        <v>27</v>
      </c>
      <c r="N344" t="s">
        <v>62</v>
      </c>
      <c r="O344" t="s">
        <v>46</v>
      </c>
      <c r="P344" t="s">
        <v>38</v>
      </c>
      <c r="Q344">
        <v>0.7</v>
      </c>
      <c r="R344">
        <v>10</v>
      </c>
    </row>
    <row r="345" spans="1:18" x14ac:dyDescent="0.3">
      <c r="A345" t="s">
        <v>920</v>
      </c>
      <c r="B345" t="s">
        <v>70</v>
      </c>
      <c r="C345" t="s">
        <v>112</v>
      </c>
      <c r="D345" t="s">
        <v>21</v>
      </c>
      <c r="E345" t="s">
        <v>921</v>
      </c>
      <c r="F345">
        <v>2025</v>
      </c>
      <c r="G345" t="s">
        <v>114</v>
      </c>
      <c r="H345" t="s">
        <v>24</v>
      </c>
      <c r="I345" t="s">
        <v>85</v>
      </c>
      <c r="J345">
        <v>15.7</v>
      </c>
      <c r="K345">
        <v>12678</v>
      </c>
      <c r="L345" t="s">
        <v>73</v>
      </c>
      <c r="M345" t="s">
        <v>27</v>
      </c>
      <c r="N345" t="s">
        <v>62</v>
      </c>
      <c r="O345" t="s">
        <v>29</v>
      </c>
      <c r="P345" t="s">
        <v>74</v>
      </c>
      <c r="Q345">
        <v>8.3000000000000007</v>
      </c>
      <c r="R345">
        <v>1</v>
      </c>
    </row>
    <row r="346" spans="1:18" x14ac:dyDescent="0.3">
      <c r="A346" t="s">
        <v>922</v>
      </c>
      <c r="B346" t="s">
        <v>49</v>
      </c>
      <c r="C346" t="s">
        <v>20</v>
      </c>
      <c r="D346" t="s">
        <v>21</v>
      </c>
      <c r="E346" t="s">
        <v>923</v>
      </c>
      <c r="F346">
        <v>2016</v>
      </c>
      <c r="G346" t="s">
        <v>815</v>
      </c>
      <c r="H346" t="s">
        <v>35</v>
      </c>
      <c r="I346" t="s">
        <v>53</v>
      </c>
      <c r="J346">
        <v>16.600000000000001</v>
      </c>
      <c r="K346">
        <v>40594</v>
      </c>
      <c r="L346" t="s">
        <v>45</v>
      </c>
      <c r="M346" t="s">
        <v>80</v>
      </c>
      <c r="N346" t="s">
        <v>28</v>
      </c>
      <c r="O346" t="s">
        <v>118</v>
      </c>
      <c r="P346" t="s">
        <v>47</v>
      </c>
      <c r="Q346">
        <v>1.8</v>
      </c>
      <c r="R346">
        <v>10</v>
      </c>
    </row>
    <row r="347" spans="1:18" x14ac:dyDescent="0.3">
      <c r="A347" t="s">
        <v>924</v>
      </c>
      <c r="B347" t="s">
        <v>49</v>
      </c>
      <c r="C347" t="s">
        <v>32</v>
      </c>
      <c r="D347" t="s">
        <v>65</v>
      </c>
      <c r="E347" t="s">
        <v>925</v>
      </c>
      <c r="F347">
        <v>2014</v>
      </c>
      <c r="G347" t="s">
        <v>926</v>
      </c>
      <c r="H347" t="s">
        <v>24</v>
      </c>
      <c r="I347" t="s">
        <v>61</v>
      </c>
      <c r="J347">
        <v>11.1</v>
      </c>
      <c r="K347">
        <v>13127</v>
      </c>
      <c r="L347" t="s">
        <v>36</v>
      </c>
      <c r="M347" t="s">
        <v>80</v>
      </c>
      <c r="N347" t="s">
        <v>62</v>
      </c>
      <c r="O347" t="s">
        <v>46</v>
      </c>
      <c r="P347" t="s">
        <v>30</v>
      </c>
      <c r="Q347">
        <v>1.4</v>
      </c>
      <c r="R347">
        <v>12</v>
      </c>
    </row>
    <row r="348" spans="1:18" x14ac:dyDescent="0.3">
      <c r="A348" t="s">
        <v>927</v>
      </c>
      <c r="B348" t="s">
        <v>49</v>
      </c>
      <c r="C348" t="s">
        <v>32</v>
      </c>
      <c r="D348" t="s">
        <v>50</v>
      </c>
      <c r="E348" t="s">
        <v>928</v>
      </c>
      <c r="F348">
        <v>2024</v>
      </c>
      <c r="G348" t="s">
        <v>645</v>
      </c>
      <c r="H348" t="s">
        <v>24</v>
      </c>
      <c r="I348" t="s">
        <v>25</v>
      </c>
      <c r="J348">
        <v>11.9</v>
      </c>
      <c r="K348">
        <v>35712</v>
      </c>
      <c r="L348" t="s">
        <v>36</v>
      </c>
      <c r="M348" t="s">
        <v>37</v>
      </c>
      <c r="N348" t="s">
        <v>28</v>
      </c>
      <c r="O348" t="s">
        <v>46</v>
      </c>
      <c r="P348" t="s">
        <v>74</v>
      </c>
      <c r="Q348">
        <v>4.5999999999999996</v>
      </c>
      <c r="R348">
        <v>2</v>
      </c>
    </row>
    <row r="349" spans="1:18" x14ac:dyDescent="0.3">
      <c r="A349" t="s">
        <v>929</v>
      </c>
      <c r="B349" t="s">
        <v>58</v>
      </c>
      <c r="C349" t="s">
        <v>20</v>
      </c>
      <c r="D349" t="s">
        <v>93</v>
      </c>
      <c r="E349" t="s">
        <v>930</v>
      </c>
      <c r="F349">
        <v>2021</v>
      </c>
      <c r="G349" t="s">
        <v>215</v>
      </c>
      <c r="H349" t="s">
        <v>35</v>
      </c>
      <c r="I349" t="s">
        <v>25</v>
      </c>
      <c r="J349">
        <v>10.6</v>
      </c>
      <c r="K349">
        <v>29384</v>
      </c>
      <c r="L349" t="s">
        <v>73</v>
      </c>
      <c r="M349" t="s">
        <v>37</v>
      </c>
      <c r="N349" t="s">
        <v>55</v>
      </c>
      <c r="O349" t="s">
        <v>29</v>
      </c>
      <c r="P349" t="s">
        <v>30</v>
      </c>
      <c r="Q349">
        <v>3.2</v>
      </c>
      <c r="R349">
        <v>5</v>
      </c>
    </row>
    <row r="350" spans="1:18" x14ac:dyDescent="0.3">
      <c r="A350" t="s">
        <v>931</v>
      </c>
      <c r="B350" t="s">
        <v>70</v>
      </c>
      <c r="C350" t="s">
        <v>64</v>
      </c>
      <c r="D350" t="s">
        <v>41</v>
      </c>
      <c r="E350" t="s">
        <v>932</v>
      </c>
      <c r="F350">
        <v>2022</v>
      </c>
      <c r="G350" t="s">
        <v>183</v>
      </c>
      <c r="H350" t="s">
        <v>35</v>
      </c>
      <c r="I350" t="s">
        <v>44</v>
      </c>
      <c r="J350">
        <v>10.6</v>
      </c>
      <c r="K350">
        <v>9222</v>
      </c>
      <c r="L350" t="s">
        <v>45</v>
      </c>
      <c r="M350" t="s">
        <v>80</v>
      </c>
      <c r="N350" t="s">
        <v>55</v>
      </c>
      <c r="O350" t="s">
        <v>46</v>
      </c>
      <c r="P350" t="s">
        <v>56</v>
      </c>
      <c r="Q350">
        <v>7</v>
      </c>
      <c r="R350">
        <v>4</v>
      </c>
    </row>
    <row r="351" spans="1:18" x14ac:dyDescent="0.3">
      <c r="A351" t="s">
        <v>933</v>
      </c>
      <c r="B351" t="s">
        <v>70</v>
      </c>
      <c r="C351" t="s">
        <v>112</v>
      </c>
      <c r="D351" t="s">
        <v>21</v>
      </c>
      <c r="E351" t="s">
        <v>934</v>
      </c>
      <c r="F351">
        <v>2019</v>
      </c>
      <c r="G351" t="s">
        <v>183</v>
      </c>
      <c r="H351" t="s">
        <v>24</v>
      </c>
      <c r="I351" t="s">
        <v>100</v>
      </c>
      <c r="J351">
        <v>4.9000000000000004</v>
      </c>
      <c r="K351">
        <v>36634</v>
      </c>
      <c r="L351" t="s">
        <v>36</v>
      </c>
      <c r="M351" t="s">
        <v>37</v>
      </c>
      <c r="N351" t="s">
        <v>62</v>
      </c>
      <c r="O351" t="s">
        <v>118</v>
      </c>
      <c r="P351" t="s">
        <v>38</v>
      </c>
      <c r="Q351">
        <v>4.3</v>
      </c>
      <c r="R351">
        <v>7</v>
      </c>
    </row>
    <row r="352" spans="1:18" x14ac:dyDescent="0.3">
      <c r="A352" t="s">
        <v>935</v>
      </c>
      <c r="B352" t="s">
        <v>49</v>
      </c>
      <c r="C352" t="s">
        <v>32</v>
      </c>
      <c r="D352" t="s">
        <v>82</v>
      </c>
      <c r="E352" t="s">
        <v>936</v>
      </c>
      <c r="F352">
        <v>2017</v>
      </c>
      <c r="G352" t="s">
        <v>557</v>
      </c>
      <c r="H352" t="s">
        <v>24</v>
      </c>
      <c r="I352" t="s">
        <v>100</v>
      </c>
      <c r="J352">
        <v>10.199999999999999</v>
      </c>
      <c r="K352">
        <v>18131</v>
      </c>
      <c r="L352" t="s">
        <v>68</v>
      </c>
      <c r="M352" t="s">
        <v>37</v>
      </c>
      <c r="N352" t="s">
        <v>62</v>
      </c>
      <c r="O352" t="s">
        <v>118</v>
      </c>
      <c r="P352" t="s">
        <v>38</v>
      </c>
      <c r="Q352">
        <v>1.8</v>
      </c>
      <c r="R352">
        <v>9</v>
      </c>
    </row>
    <row r="353" spans="1:18" x14ac:dyDescent="0.3">
      <c r="A353" t="s">
        <v>937</v>
      </c>
      <c r="B353" t="s">
        <v>40</v>
      </c>
      <c r="C353" t="s">
        <v>76</v>
      </c>
      <c r="D353" t="s">
        <v>50</v>
      </c>
      <c r="E353" t="s">
        <v>938</v>
      </c>
      <c r="F353">
        <v>2024</v>
      </c>
      <c r="G353" t="s">
        <v>510</v>
      </c>
      <c r="H353" t="s">
        <v>35</v>
      </c>
      <c r="I353" t="s">
        <v>61</v>
      </c>
      <c r="J353">
        <v>2.2999999999999998</v>
      </c>
      <c r="K353">
        <v>34814</v>
      </c>
      <c r="L353" t="s">
        <v>36</v>
      </c>
      <c r="M353" t="s">
        <v>37</v>
      </c>
      <c r="N353" t="s">
        <v>62</v>
      </c>
      <c r="O353" t="s">
        <v>46</v>
      </c>
      <c r="P353" t="s">
        <v>38</v>
      </c>
      <c r="Q353">
        <v>7</v>
      </c>
      <c r="R353">
        <v>2</v>
      </c>
    </row>
    <row r="354" spans="1:18" x14ac:dyDescent="0.3">
      <c r="A354" t="s">
        <v>939</v>
      </c>
      <c r="B354" t="s">
        <v>58</v>
      </c>
      <c r="C354" t="s">
        <v>112</v>
      </c>
      <c r="D354" t="s">
        <v>50</v>
      </c>
      <c r="E354" t="s">
        <v>940</v>
      </c>
      <c r="F354">
        <v>2014</v>
      </c>
      <c r="G354" t="s">
        <v>941</v>
      </c>
      <c r="H354" t="s">
        <v>24</v>
      </c>
      <c r="I354" t="s">
        <v>61</v>
      </c>
      <c r="J354">
        <v>8.8000000000000007</v>
      </c>
      <c r="K354">
        <v>40837</v>
      </c>
      <c r="L354" t="s">
        <v>36</v>
      </c>
      <c r="M354" t="s">
        <v>80</v>
      </c>
      <c r="N354" t="s">
        <v>28</v>
      </c>
      <c r="O354" t="s">
        <v>118</v>
      </c>
      <c r="P354" t="s">
        <v>56</v>
      </c>
      <c r="Q354">
        <v>4</v>
      </c>
      <c r="R354">
        <v>12</v>
      </c>
    </row>
    <row r="355" spans="1:18" x14ac:dyDescent="0.3">
      <c r="A355" t="s">
        <v>942</v>
      </c>
      <c r="B355" t="s">
        <v>58</v>
      </c>
      <c r="C355" t="s">
        <v>76</v>
      </c>
      <c r="D355" t="s">
        <v>93</v>
      </c>
      <c r="E355" t="s">
        <v>943</v>
      </c>
      <c r="F355">
        <v>2023</v>
      </c>
      <c r="G355" t="s">
        <v>496</v>
      </c>
      <c r="H355" t="s">
        <v>35</v>
      </c>
      <c r="I355" t="s">
        <v>53</v>
      </c>
      <c r="J355">
        <v>13</v>
      </c>
      <c r="K355">
        <v>40655</v>
      </c>
      <c r="L355" t="s">
        <v>26</v>
      </c>
      <c r="M355" t="s">
        <v>54</v>
      </c>
      <c r="N355" t="s">
        <v>62</v>
      </c>
      <c r="O355" t="s">
        <v>118</v>
      </c>
      <c r="P355" t="s">
        <v>47</v>
      </c>
      <c r="Q355">
        <v>0.6</v>
      </c>
      <c r="R355">
        <v>3</v>
      </c>
    </row>
    <row r="356" spans="1:18" x14ac:dyDescent="0.3">
      <c r="A356" t="s">
        <v>944</v>
      </c>
      <c r="B356" t="s">
        <v>49</v>
      </c>
      <c r="C356" t="s">
        <v>20</v>
      </c>
      <c r="D356" t="s">
        <v>21</v>
      </c>
      <c r="E356" t="s">
        <v>945</v>
      </c>
      <c r="F356">
        <v>2024</v>
      </c>
      <c r="G356" t="s">
        <v>295</v>
      </c>
      <c r="H356" t="s">
        <v>24</v>
      </c>
      <c r="I356" t="s">
        <v>100</v>
      </c>
      <c r="J356">
        <v>9.4</v>
      </c>
      <c r="K356">
        <v>16682</v>
      </c>
      <c r="L356" t="s">
        <v>45</v>
      </c>
      <c r="M356" t="s">
        <v>54</v>
      </c>
      <c r="N356" t="s">
        <v>62</v>
      </c>
      <c r="O356" t="s">
        <v>29</v>
      </c>
      <c r="P356" t="s">
        <v>86</v>
      </c>
      <c r="Q356">
        <v>2.8</v>
      </c>
      <c r="R356">
        <v>2</v>
      </c>
    </row>
    <row r="357" spans="1:18" x14ac:dyDescent="0.3">
      <c r="A357" t="s">
        <v>946</v>
      </c>
      <c r="B357" t="s">
        <v>19</v>
      </c>
      <c r="C357" t="s">
        <v>20</v>
      </c>
      <c r="D357" t="s">
        <v>50</v>
      </c>
      <c r="E357" t="s">
        <v>947</v>
      </c>
      <c r="F357">
        <v>2014</v>
      </c>
      <c r="G357" t="s">
        <v>493</v>
      </c>
      <c r="H357" t="s">
        <v>24</v>
      </c>
      <c r="I357" t="s">
        <v>25</v>
      </c>
      <c r="J357">
        <v>7.4</v>
      </c>
      <c r="K357">
        <v>39909</v>
      </c>
      <c r="L357" t="s">
        <v>73</v>
      </c>
      <c r="M357" t="s">
        <v>80</v>
      </c>
      <c r="N357" t="s">
        <v>62</v>
      </c>
      <c r="O357" t="s">
        <v>46</v>
      </c>
      <c r="P357" t="s">
        <v>30</v>
      </c>
      <c r="Q357">
        <v>9.1999999999999993</v>
      </c>
      <c r="R357">
        <v>12</v>
      </c>
    </row>
    <row r="358" spans="1:18" x14ac:dyDescent="0.3">
      <c r="A358" t="s">
        <v>948</v>
      </c>
      <c r="B358" t="s">
        <v>49</v>
      </c>
      <c r="C358" t="s">
        <v>32</v>
      </c>
      <c r="D358" t="s">
        <v>77</v>
      </c>
      <c r="E358" t="s">
        <v>949</v>
      </c>
      <c r="F358">
        <v>2022</v>
      </c>
      <c r="G358" t="s">
        <v>373</v>
      </c>
      <c r="H358" t="s">
        <v>24</v>
      </c>
      <c r="I358" t="s">
        <v>53</v>
      </c>
      <c r="J358">
        <v>4.5</v>
      </c>
      <c r="K358">
        <v>14248</v>
      </c>
      <c r="L358" t="s">
        <v>36</v>
      </c>
      <c r="M358" t="s">
        <v>27</v>
      </c>
      <c r="N358" t="s">
        <v>62</v>
      </c>
      <c r="O358" t="s">
        <v>29</v>
      </c>
      <c r="P358" t="s">
        <v>86</v>
      </c>
      <c r="Q358">
        <v>2.2000000000000002</v>
      </c>
      <c r="R358">
        <v>4</v>
      </c>
    </row>
    <row r="359" spans="1:18" x14ac:dyDescent="0.3">
      <c r="A359" t="s">
        <v>950</v>
      </c>
      <c r="B359" t="s">
        <v>49</v>
      </c>
      <c r="C359" t="s">
        <v>112</v>
      </c>
      <c r="D359" t="s">
        <v>93</v>
      </c>
      <c r="E359" t="s">
        <v>951</v>
      </c>
      <c r="F359">
        <v>2022</v>
      </c>
      <c r="G359" t="s">
        <v>763</v>
      </c>
      <c r="H359" t="s">
        <v>24</v>
      </c>
      <c r="I359" t="s">
        <v>44</v>
      </c>
      <c r="J359">
        <v>14.6</v>
      </c>
      <c r="K359">
        <v>18388</v>
      </c>
      <c r="L359" t="s">
        <v>45</v>
      </c>
      <c r="M359" t="s">
        <v>37</v>
      </c>
      <c r="N359" t="s">
        <v>62</v>
      </c>
      <c r="O359" t="s">
        <v>118</v>
      </c>
      <c r="P359" t="s">
        <v>47</v>
      </c>
      <c r="Q359">
        <v>5.9</v>
      </c>
      <c r="R359">
        <v>4</v>
      </c>
    </row>
    <row r="360" spans="1:18" x14ac:dyDescent="0.3">
      <c r="A360" t="s">
        <v>952</v>
      </c>
      <c r="B360" t="s">
        <v>70</v>
      </c>
      <c r="C360" t="s">
        <v>76</v>
      </c>
      <c r="D360" t="s">
        <v>65</v>
      </c>
      <c r="E360" t="s">
        <v>953</v>
      </c>
      <c r="F360">
        <v>2017</v>
      </c>
      <c r="G360" t="s">
        <v>954</v>
      </c>
      <c r="H360" t="s">
        <v>24</v>
      </c>
      <c r="I360" t="s">
        <v>100</v>
      </c>
      <c r="J360">
        <v>15.6</v>
      </c>
      <c r="K360">
        <v>33086</v>
      </c>
      <c r="L360" t="s">
        <v>26</v>
      </c>
      <c r="M360" t="s">
        <v>37</v>
      </c>
      <c r="N360" t="s">
        <v>28</v>
      </c>
      <c r="O360" t="s">
        <v>118</v>
      </c>
      <c r="P360" t="s">
        <v>38</v>
      </c>
      <c r="Q360">
        <v>8</v>
      </c>
      <c r="R360">
        <v>9</v>
      </c>
    </row>
    <row r="361" spans="1:18" x14ac:dyDescent="0.3">
      <c r="A361" t="s">
        <v>955</v>
      </c>
      <c r="B361" t="s">
        <v>40</v>
      </c>
      <c r="C361" t="s">
        <v>20</v>
      </c>
      <c r="D361" t="s">
        <v>82</v>
      </c>
      <c r="E361" t="s">
        <v>956</v>
      </c>
      <c r="F361">
        <v>2017</v>
      </c>
      <c r="G361" t="s">
        <v>344</v>
      </c>
      <c r="H361" t="s">
        <v>96</v>
      </c>
      <c r="I361" t="s">
        <v>100</v>
      </c>
      <c r="J361">
        <v>9.9</v>
      </c>
      <c r="K361">
        <v>18758</v>
      </c>
      <c r="L361" t="s">
        <v>73</v>
      </c>
      <c r="M361" t="s">
        <v>37</v>
      </c>
      <c r="N361" t="s">
        <v>28</v>
      </c>
      <c r="O361" t="s">
        <v>118</v>
      </c>
      <c r="P361" t="s">
        <v>38</v>
      </c>
      <c r="Q361">
        <v>7.6</v>
      </c>
      <c r="R361">
        <v>9</v>
      </c>
    </row>
    <row r="362" spans="1:18" x14ac:dyDescent="0.3">
      <c r="A362" t="s">
        <v>957</v>
      </c>
      <c r="B362" t="s">
        <v>49</v>
      </c>
      <c r="C362" t="s">
        <v>64</v>
      </c>
      <c r="D362" t="s">
        <v>82</v>
      </c>
      <c r="E362" t="s">
        <v>958</v>
      </c>
      <c r="F362">
        <v>2019</v>
      </c>
      <c r="G362" t="s">
        <v>180</v>
      </c>
      <c r="H362" t="s">
        <v>24</v>
      </c>
      <c r="I362" t="s">
        <v>61</v>
      </c>
      <c r="J362">
        <v>16.2</v>
      </c>
      <c r="K362">
        <v>19134</v>
      </c>
      <c r="L362" t="s">
        <v>73</v>
      </c>
      <c r="M362" t="s">
        <v>54</v>
      </c>
      <c r="N362" t="s">
        <v>55</v>
      </c>
      <c r="O362" t="s">
        <v>46</v>
      </c>
      <c r="P362" t="s">
        <v>56</v>
      </c>
      <c r="Q362">
        <v>2.7</v>
      </c>
      <c r="R362">
        <v>7</v>
      </c>
    </row>
    <row r="363" spans="1:18" x14ac:dyDescent="0.3">
      <c r="A363" t="s">
        <v>959</v>
      </c>
      <c r="B363" t="s">
        <v>40</v>
      </c>
      <c r="C363" t="s">
        <v>64</v>
      </c>
      <c r="D363" t="s">
        <v>21</v>
      </c>
      <c r="E363" t="s">
        <v>960</v>
      </c>
      <c r="F363">
        <v>2017</v>
      </c>
      <c r="G363" t="s">
        <v>99</v>
      </c>
      <c r="H363" t="s">
        <v>35</v>
      </c>
      <c r="I363" t="s">
        <v>100</v>
      </c>
      <c r="J363">
        <v>6.7</v>
      </c>
      <c r="K363">
        <v>8491</v>
      </c>
      <c r="L363" t="s">
        <v>26</v>
      </c>
      <c r="M363" t="s">
        <v>80</v>
      </c>
      <c r="N363" t="s">
        <v>62</v>
      </c>
      <c r="O363" t="s">
        <v>46</v>
      </c>
      <c r="P363" t="s">
        <v>47</v>
      </c>
      <c r="Q363">
        <v>6.3</v>
      </c>
      <c r="R363">
        <v>9</v>
      </c>
    </row>
    <row r="364" spans="1:18" x14ac:dyDescent="0.3">
      <c r="A364" t="s">
        <v>961</v>
      </c>
      <c r="B364" t="s">
        <v>58</v>
      </c>
      <c r="C364" t="s">
        <v>20</v>
      </c>
      <c r="D364" t="s">
        <v>93</v>
      </c>
      <c r="E364" t="s">
        <v>962</v>
      </c>
      <c r="F364">
        <v>2022</v>
      </c>
      <c r="G364" t="s">
        <v>540</v>
      </c>
      <c r="H364" t="s">
        <v>24</v>
      </c>
      <c r="I364" t="s">
        <v>100</v>
      </c>
      <c r="J364">
        <v>15.7</v>
      </c>
      <c r="K364">
        <v>33665</v>
      </c>
      <c r="L364" t="s">
        <v>73</v>
      </c>
      <c r="M364" t="s">
        <v>37</v>
      </c>
      <c r="N364" t="s">
        <v>55</v>
      </c>
      <c r="O364" t="s">
        <v>29</v>
      </c>
      <c r="P364" t="s">
        <v>74</v>
      </c>
      <c r="Q364">
        <v>1.7</v>
      </c>
      <c r="R364">
        <v>4</v>
      </c>
    </row>
    <row r="365" spans="1:18" x14ac:dyDescent="0.3">
      <c r="A365" t="s">
        <v>963</v>
      </c>
      <c r="B365" t="s">
        <v>58</v>
      </c>
      <c r="C365" t="s">
        <v>76</v>
      </c>
      <c r="D365" t="s">
        <v>93</v>
      </c>
      <c r="E365" t="s">
        <v>964</v>
      </c>
      <c r="F365">
        <v>2022</v>
      </c>
      <c r="G365" t="s">
        <v>413</v>
      </c>
      <c r="H365" t="s">
        <v>24</v>
      </c>
      <c r="I365" t="s">
        <v>53</v>
      </c>
      <c r="J365">
        <v>7.4</v>
      </c>
      <c r="K365">
        <v>12955</v>
      </c>
      <c r="L365" t="s">
        <v>36</v>
      </c>
      <c r="M365" t="s">
        <v>80</v>
      </c>
      <c r="N365" t="s">
        <v>62</v>
      </c>
      <c r="O365" t="s">
        <v>46</v>
      </c>
      <c r="P365" t="s">
        <v>47</v>
      </c>
      <c r="Q365">
        <v>3.5</v>
      </c>
      <c r="R365">
        <v>4</v>
      </c>
    </row>
    <row r="366" spans="1:18" x14ac:dyDescent="0.3">
      <c r="A366" t="s">
        <v>965</v>
      </c>
      <c r="B366" t="s">
        <v>40</v>
      </c>
      <c r="C366" t="s">
        <v>76</v>
      </c>
      <c r="D366" t="s">
        <v>93</v>
      </c>
      <c r="E366" t="s">
        <v>966</v>
      </c>
      <c r="F366">
        <v>2014</v>
      </c>
      <c r="G366" t="s">
        <v>820</v>
      </c>
      <c r="H366" t="s">
        <v>24</v>
      </c>
      <c r="I366" t="s">
        <v>53</v>
      </c>
      <c r="J366">
        <v>11.2</v>
      </c>
      <c r="K366">
        <v>18519</v>
      </c>
      <c r="L366" t="s">
        <v>73</v>
      </c>
      <c r="M366" t="s">
        <v>37</v>
      </c>
      <c r="N366" t="s">
        <v>28</v>
      </c>
      <c r="O366" t="s">
        <v>118</v>
      </c>
      <c r="P366" t="s">
        <v>47</v>
      </c>
      <c r="Q366">
        <v>9.6</v>
      </c>
      <c r="R366">
        <v>12</v>
      </c>
    </row>
    <row r="367" spans="1:18" x14ac:dyDescent="0.3">
      <c r="A367" t="s">
        <v>967</v>
      </c>
      <c r="B367" t="s">
        <v>40</v>
      </c>
      <c r="C367" t="s">
        <v>76</v>
      </c>
      <c r="D367" t="s">
        <v>82</v>
      </c>
      <c r="E367" t="s">
        <v>968</v>
      </c>
      <c r="F367">
        <v>2019</v>
      </c>
      <c r="G367" t="s">
        <v>424</v>
      </c>
      <c r="H367" t="s">
        <v>24</v>
      </c>
      <c r="I367" t="s">
        <v>25</v>
      </c>
      <c r="J367">
        <v>13.7</v>
      </c>
      <c r="K367">
        <v>25425</v>
      </c>
      <c r="L367" t="s">
        <v>36</v>
      </c>
      <c r="M367" t="s">
        <v>37</v>
      </c>
      <c r="N367" t="s">
        <v>55</v>
      </c>
      <c r="O367" t="s">
        <v>29</v>
      </c>
      <c r="P367" t="s">
        <v>74</v>
      </c>
      <c r="Q367">
        <v>1.7</v>
      </c>
      <c r="R367">
        <v>7</v>
      </c>
    </row>
    <row r="368" spans="1:18" x14ac:dyDescent="0.3">
      <c r="A368" t="s">
        <v>969</v>
      </c>
      <c r="B368" t="s">
        <v>40</v>
      </c>
      <c r="C368" t="s">
        <v>112</v>
      </c>
      <c r="D368" t="s">
        <v>65</v>
      </c>
      <c r="E368" t="s">
        <v>970</v>
      </c>
      <c r="F368">
        <v>2023</v>
      </c>
      <c r="G368" t="s">
        <v>275</v>
      </c>
      <c r="H368" t="s">
        <v>24</v>
      </c>
      <c r="I368" t="s">
        <v>61</v>
      </c>
      <c r="J368">
        <v>10.199999999999999</v>
      </c>
      <c r="K368">
        <v>26461</v>
      </c>
      <c r="L368" t="s">
        <v>73</v>
      </c>
      <c r="M368" t="s">
        <v>54</v>
      </c>
      <c r="N368" t="s">
        <v>62</v>
      </c>
      <c r="O368" t="s">
        <v>29</v>
      </c>
      <c r="P368" t="s">
        <v>47</v>
      </c>
      <c r="Q368">
        <v>8.1999999999999993</v>
      </c>
      <c r="R368">
        <v>3</v>
      </c>
    </row>
    <row r="369" spans="1:18" x14ac:dyDescent="0.3">
      <c r="A369" t="s">
        <v>971</v>
      </c>
      <c r="B369" t="s">
        <v>58</v>
      </c>
      <c r="C369" t="s">
        <v>64</v>
      </c>
      <c r="D369" t="s">
        <v>50</v>
      </c>
      <c r="E369" t="s">
        <v>972</v>
      </c>
      <c r="F369">
        <v>2016</v>
      </c>
      <c r="G369" t="s">
        <v>973</v>
      </c>
      <c r="H369" t="s">
        <v>35</v>
      </c>
      <c r="I369" t="s">
        <v>100</v>
      </c>
      <c r="J369">
        <v>13.1</v>
      </c>
      <c r="K369">
        <v>33391</v>
      </c>
      <c r="L369" t="s">
        <v>68</v>
      </c>
      <c r="M369" t="s">
        <v>37</v>
      </c>
      <c r="N369" t="s">
        <v>62</v>
      </c>
      <c r="O369" t="s">
        <v>46</v>
      </c>
      <c r="P369" t="s">
        <v>30</v>
      </c>
      <c r="Q369">
        <v>4.3</v>
      </c>
      <c r="R369">
        <v>10</v>
      </c>
    </row>
    <row r="370" spans="1:18" x14ac:dyDescent="0.3">
      <c r="A370" t="s">
        <v>974</v>
      </c>
      <c r="B370" t="s">
        <v>19</v>
      </c>
      <c r="C370" t="s">
        <v>64</v>
      </c>
      <c r="D370" t="s">
        <v>50</v>
      </c>
      <c r="E370" t="s">
        <v>975</v>
      </c>
      <c r="F370">
        <v>2025</v>
      </c>
      <c r="G370" t="s">
        <v>941</v>
      </c>
      <c r="H370" t="s">
        <v>24</v>
      </c>
      <c r="I370" t="s">
        <v>25</v>
      </c>
      <c r="J370">
        <v>2.2000000000000002</v>
      </c>
      <c r="K370">
        <v>23432</v>
      </c>
      <c r="L370" t="s">
        <v>68</v>
      </c>
      <c r="M370" t="s">
        <v>37</v>
      </c>
      <c r="N370" t="s">
        <v>55</v>
      </c>
      <c r="O370" t="s">
        <v>46</v>
      </c>
      <c r="P370" t="s">
        <v>74</v>
      </c>
      <c r="Q370">
        <v>9.4</v>
      </c>
      <c r="R370">
        <v>1</v>
      </c>
    </row>
    <row r="371" spans="1:18" x14ac:dyDescent="0.3">
      <c r="A371" t="s">
        <v>976</v>
      </c>
      <c r="B371" t="s">
        <v>19</v>
      </c>
      <c r="C371" t="s">
        <v>76</v>
      </c>
      <c r="D371" t="s">
        <v>41</v>
      </c>
      <c r="E371" t="s">
        <v>977</v>
      </c>
      <c r="F371">
        <v>2018</v>
      </c>
      <c r="G371" t="s">
        <v>978</v>
      </c>
      <c r="H371" t="s">
        <v>24</v>
      </c>
      <c r="I371" t="s">
        <v>25</v>
      </c>
      <c r="J371">
        <v>17.399999999999999</v>
      </c>
      <c r="K371">
        <v>14538</v>
      </c>
      <c r="L371" t="s">
        <v>45</v>
      </c>
      <c r="M371" t="s">
        <v>54</v>
      </c>
      <c r="N371" t="s">
        <v>55</v>
      </c>
      <c r="O371" t="s">
        <v>118</v>
      </c>
      <c r="P371" t="s">
        <v>86</v>
      </c>
      <c r="Q371">
        <v>6.9</v>
      </c>
      <c r="R371">
        <v>8</v>
      </c>
    </row>
    <row r="372" spans="1:18" x14ac:dyDescent="0.3">
      <c r="A372" t="s">
        <v>979</v>
      </c>
      <c r="B372" t="s">
        <v>58</v>
      </c>
      <c r="C372" t="s">
        <v>112</v>
      </c>
      <c r="D372" t="s">
        <v>82</v>
      </c>
      <c r="E372" t="s">
        <v>980</v>
      </c>
      <c r="F372">
        <v>2021</v>
      </c>
      <c r="G372" t="s">
        <v>627</v>
      </c>
      <c r="H372" t="s">
        <v>35</v>
      </c>
      <c r="I372" t="s">
        <v>85</v>
      </c>
      <c r="J372">
        <v>11.6</v>
      </c>
      <c r="K372">
        <v>10992</v>
      </c>
      <c r="L372" t="s">
        <v>73</v>
      </c>
      <c r="M372" t="s">
        <v>37</v>
      </c>
      <c r="N372" t="s">
        <v>55</v>
      </c>
      <c r="O372" t="s">
        <v>46</v>
      </c>
      <c r="P372" t="s">
        <v>74</v>
      </c>
      <c r="Q372">
        <v>5.9</v>
      </c>
      <c r="R372">
        <v>5</v>
      </c>
    </row>
    <row r="373" spans="1:18" x14ac:dyDescent="0.3">
      <c r="A373" t="s">
        <v>981</v>
      </c>
      <c r="B373" t="s">
        <v>40</v>
      </c>
      <c r="C373" t="s">
        <v>20</v>
      </c>
      <c r="D373" t="s">
        <v>21</v>
      </c>
      <c r="E373" t="s">
        <v>982</v>
      </c>
      <c r="F373">
        <v>2015</v>
      </c>
      <c r="G373" t="s">
        <v>52</v>
      </c>
      <c r="H373" t="s">
        <v>24</v>
      </c>
      <c r="I373" t="s">
        <v>25</v>
      </c>
      <c r="J373">
        <v>5.6</v>
      </c>
      <c r="K373">
        <v>19029</v>
      </c>
      <c r="L373" t="s">
        <v>45</v>
      </c>
      <c r="M373" t="s">
        <v>27</v>
      </c>
      <c r="N373" t="s">
        <v>55</v>
      </c>
      <c r="O373" t="s">
        <v>118</v>
      </c>
      <c r="P373" t="s">
        <v>86</v>
      </c>
      <c r="Q373">
        <v>7.6</v>
      </c>
      <c r="R373">
        <v>11</v>
      </c>
    </row>
    <row r="374" spans="1:18" x14ac:dyDescent="0.3">
      <c r="A374" t="s">
        <v>983</v>
      </c>
      <c r="B374" t="s">
        <v>58</v>
      </c>
      <c r="C374" t="s">
        <v>64</v>
      </c>
      <c r="D374" t="s">
        <v>21</v>
      </c>
      <c r="E374" t="s">
        <v>984</v>
      </c>
      <c r="F374">
        <v>2022</v>
      </c>
      <c r="G374" t="s">
        <v>104</v>
      </c>
      <c r="H374" t="s">
        <v>96</v>
      </c>
      <c r="I374" t="s">
        <v>61</v>
      </c>
      <c r="J374">
        <v>13.2</v>
      </c>
      <c r="K374">
        <v>44886</v>
      </c>
      <c r="L374" t="s">
        <v>68</v>
      </c>
      <c r="M374" t="s">
        <v>80</v>
      </c>
      <c r="N374" t="s">
        <v>28</v>
      </c>
      <c r="O374" t="s">
        <v>29</v>
      </c>
      <c r="P374" t="s">
        <v>47</v>
      </c>
      <c r="Q374">
        <v>1.5</v>
      </c>
      <c r="R374">
        <v>4</v>
      </c>
    </row>
    <row r="375" spans="1:18" x14ac:dyDescent="0.3">
      <c r="A375" t="s">
        <v>985</v>
      </c>
      <c r="B375" t="s">
        <v>49</v>
      </c>
      <c r="C375" t="s">
        <v>112</v>
      </c>
      <c r="D375" t="s">
        <v>41</v>
      </c>
      <c r="E375" t="s">
        <v>986</v>
      </c>
      <c r="F375">
        <v>2015</v>
      </c>
      <c r="G375" t="s">
        <v>987</v>
      </c>
      <c r="H375" t="s">
        <v>35</v>
      </c>
      <c r="I375" t="s">
        <v>100</v>
      </c>
      <c r="J375">
        <v>13.9</v>
      </c>
      <c r="K375">
        <v>6955</v>
      </c>
      <c r="L375" t="s">
        <v>26</v>
      </c>
      <c r="M375" t="s">
        <v>37</v>
      </c>
      <c r="N375" t="s">
        <v>62</v>
      </c>
      <c r="O375" t="s">
        <v>29</v>
      </c>
      <c r="P375" t="s">
        <v>30</v>
      </c>
      <c r="Q375">
        <v>6.7</v>
      </c>
      <c r="R375">
        <v>11</v>
      </c>
    </row>
    <row r="376" spans="1:18" x14ac:dyDescent="0.3">
      <c r="A376" t="s">
        <v>988</v>
      </c>
      <c r="B376" t="s">
        <v>40</v>
      </c>
      <c r="C376" t="s">
        <v>64</v>
      </c>
      <c r="D376" t="s">
        <v>65</v>
      </c>
      <c r="E376" t="s">
        <v>989</v>
      </c>
      <c r="F376">
        <v>2020</v>
      </c>
      <c r="G376" t="s">
        <v>410</v>
      </c>
      <c r="H376" t="s">
        <v>24</v>
      </c>
      <c r="I376" t="s">
        <v>25</v>
      </c>
      <c r="J376">
        <v>2.7</v>
      </c>
      <c r="K376">
        <v>36020</v>
      </c>
      <c r="L376" t="s">
        <v>73</v>
      </c>
      <c r="M376" t="s">
        <v>80</v>
      </c>
      <c r="N376" t="s">
        <v>28</v>
      </c>
      <c r="O376" t="s">
        <v>46</v>
      </c>
      <c r="P376" t="s">
        <v>86</v>
      </c>
      <c r="Q376">
        <v>8.6999999999999993</v>
      </c>
      <c r="R376">
        <v>6</v>
      </c>
    </row>
    <row r="377" spans="1:18" x14ac:dyDescent="0.3">
      <c r="A377" t="s">
        <v>990</v>
      </c>
      <c r="B377" t="s">
        <v>58</v>
      </c>
      <c r="C377" t="s">
        <v>32</v>
      </c>
      <c r="D377" t="s">
        <v>77</v>
      </c>
      <c r="E377" t="s">
        <v>991</v>
      </c>
      <c r="F377">
        <v>2019</v>
      </c>
      <c r="G377" t="s">
        <v>987</v>
      </c>
      <c r="H377" t="s">
        <v>35</v>
      </c>
      <c r="I377" t="s">
        <v>61</v>
      </c>
      <c r="J377">
        <v>17.5</v>
      </c>
      <c r="K377">
        <v>36842</v>
      </c>
      <c r="L377" t="s">
        <v>73</v>
      </c>
      <c r="M377" t="s">
        <v>27</v>
      </c>
      <c r="N377" t="s">
        <v>62</v>
      </c>
      <c r="O377" t="s">
        <v>46</v>
      </c>
      <c r="P377" t="s">
        <v>38</v>
      </c>
      <c r="Q377">
        <v>8.8000000000000007</v>
      </c>
      <c r="R377">
        <v>7</v>
      </c>
    </row>
    <row r="378" spans="1:18" x14ac:dyDescent="0.3">
      <c r="A378" t="s">
        <v>992</v>
      </c>
      <c r="B378" t="s">
        <v>49</v>
      </c>
      <c r="C378" t="s">
        <v>20</v>
      </c>
      <c r="D378" t="s">
        <v>77</v>
      </c>
      <c r="E378" t="s">
        <v>993</v>
      </c>
      <c r="F378">
        <v>2020</v>
      </c>
      <c r="G378" t="s">
        <v>994</v>
      </c>
      <c r="H378" t="s">
        <v>24</v>
      </c>
      <c r="I378" t="s">
        <v>61</v>
      </c>
      <c r="J378">
        <v>14.6</v>
      </c>
      <c r="K378">
        <v>30457</v>
      </c>
      <c r="L378" t="s">
        <v>68</v>
      </c>
      <c r="M378" t="s">
        <v>37</v>
      </c>
      <c r="N378" t="s">
        <v>55</v>
      </c>
      <c r="O378" t="s">
        <v>118</v>
      </c>
      <c r="P378" t="s">
        <v>56</v>
      </c>
      <c r="Q378">
        <v>3.4</v>
      </c>
      <c r="R378">
        <v>6</v>
      </c>
    </row>
    <row r="379" spans="1:18" x14ac:dyDescent="0.3">
      <c r="A379" t="s">
        <v>995</v>
      </c>
      <c r="B379" t="s">
        <v>40</v>
      </c>
      <c r="C379" t="s">
        <v>20</v>
      </c>
      <c r="D379" t="s">
        <v>77</v>
      </c>
      <c r="E379" t="s">
        <v>996</v>
      </c>
      <c r="F379">
        <v>2014</v>
      </c>
      <c r="G379" t="s">
        <v>318</v>
      </c>
      <c r="H379" t="s">
        <v>24</v>
      </c>
      <c r="I379" t="s">
        <v>44</v>
      </c>
      <c r="J379">
        <v>12.5</v>
      </c>
      <c r="K379">
        <v>33739</v>
      </c>
      <c r="L379" t="s">
        <v>36</v>
      </c>
      <c r="M379" t="s">
        <v>37</v>
      </c>
      <c r="N379" t="s">
        <v>28</v>
      </c>
      <c r="O379" t="s">
        <v>118</v>
      </c>
      <c r="P379" t="s">
        <v>86</v>
      </c>
      <c r="Q379">
        <v>6.2</v>
      </c>
      <c r="R379">
        <v>12</v>
      </c>
    </row>
    <row r="380" spans="1:18" x14ac:dyDescent="0.3">
      <c r="A380" t="s">
        <v>997</v>
      </c>
      <c r="B380" t="s">
        <v>70</v>
      </c>
      <c r="C380" t="s">
        <v>64</v>
      </c>
      <c r="D380" t="s">
        <v>82</v>
      </c>
      <c r="E380" t="s">
        <v>998</v>
      </c>
      <c r="F380">
        <v>2014</v>
      </c>
      <c r="G380" t="s">
        <v>177</v>
      </c>
      <c r="H380" t="s">
        <v>96</v>
      </c>
      <c r="I380" t="s">
        <v>85</v>
      </c>
      <c r="J380">
        <v>7.4</v>
      </c>
      <c r="K380">
        <v>12200</v>
      </c>
      <c r="L380" t="s">
        <v>101</v>
      </c>
      <c r="M380" t="s">
        <v>27</v>
      </c>
      <c r="N380" t="s">
        <v>55</v>
      </c>
      <c r="O380" t="s">
        <v>29</v>
      </c>
      <c r="P380" t="s">
        <v>86</v>
      </c>
      <c r="Q380">
        <v>1.3</v>
      </c>
      <c r="R380">
        <v>12</v>
      </c>
    </row>
    <row r="381" spans="1:18" x14ac:dyDescent="0.3">
      <c r="A381" t="s">
        <v>999</v>
      </c>
      <c r="B381" t="s">
        <v>49</v>
      </c>
      <c r="C381" t="s">
        <v>32</v>
      </c>
      <c r="D381" t="s">
        <v>50</v>
      </c>
      <c r="E381" t="s">
        <v>1000</v>
      </c>
      <c r="F381">
        <v>2024</v>
      </c>
      <c r="G381" t="s">
        <v>95</v>
      </c>
      <c r="H381" t="s">
        <v>35</v>
      </c>
      <c r="I381" t="s">
        <v>53</v>
      </c>
      <c r="J381">
        <v>5.5</v>
      </c>
      <c r="K381">
        <v>36361</v>
      </c>
      <c r="L381" t="s">
        <v>68</v>
      </c>
      <c r="M381" t="s">
        <v>27</v>
      </c>
      <c r="N381" t="s">
        <v>28</v>
      </c>
      <c r="O381" t="s">
        <v>29</v>
      </c>
      <c r="P381" t="s">
        <v>56</v>
      </c>
      <c r="Q381">
        <v>1.8</v>
      </c>
      <c r="R381">
        <v>2</v>
      </c>
    </row>
    <row r="382" spans="1:18" x14ac:dyDescent="0.3">
      <c r="A382" t="s">
        <v>1001</v>
      </c>
      <c r="B382" t="s">
        <v>58</v>
      </c>
      <c r="C382" t="s">
        <v>32</v>
      </c>
      <c r="D382" t="s">
        <v>82</v>
      </c>
      <c r="E382" t="s">
        <v>1002</v>
      </c>
      <c r="F382">
        <v>2015</v>
      </c>
      <c r="G382" t="s">
        <v>1003</v>
      </c>
      <c r="H382" t="s">
        <v>24</v>
      </c>
      <c r="I382" t="s">
        <v>100</v>
      </c>
      <c r="J382">
        <v>9.1</v>
      </c>
      <c r="K382">
        <v>22513</v>
      </c>
      <c r="L382" t="s">
        <v>26</v>
      </c>
      <c r="M382" t="s">
        <v>54</v>
      </c>
      <c r="N382" t="s">
        <v>28</v>
      </c>
      <c r="O382" t="s">
        <v>46</v>
      </c>
      <c r="P382" t="s">
        <v>30</v>
      </c>
      <c r="Q382">
        <v>2.2999999999999998</v>
      </c>
      <c r="R382">
        <v>11</v>
      </c>
    </row>
    <row r="383" spans="1:18" x14ac:dyDescent="0.3">
      <c r="A383" t="s">
        <v>1004</v>
      </c>
      <c r="B383" t="s">
        <v>70</v>
      </c>
      <c r="C383" t="s">
        <v>64</v>
      </c>
      <c r="D383" t="s">
        <v>65</v>
      </c>
      <c r="E383" t="s">
        <v>1005</v>
      </c>
      <c r="F383">
        <v>2015</v>
      </c>
      <c r="G383" t="s">
        <v>373</v>
      </c>
      <c r="H383" t="s">
        <v>24</v>
      </c>
      <c r="I383" t="s">
        <v>44</v>
      </c>
      <c r="J383">
        <v>4.5999999999999996</v>
      </c>
      <c r="K383">
        <v>11375</v>
      </c>
      <c r="L383" t="s">
        <v>26</v>
      </c>
      <c r="M383" t="s">
        <v>27</v>
      </c>
      <c r="N383" t="s">
        <v>28</v>
      </c>
      <c r="O383" t="s">
        <v>118</v>
      </c>
      <c r="P383" t="s">
        <v>47</v>
      </c>
      <c r="Q383">
        <v>3.5</v>
      </c>
      <c r="R383">
        <v>11</v>
      </c>
    </row>
    <row r="384" spans="1:18" x14ac:dyDescent="0.3">
      <c r="A384" t="s">
        <v>1006</v>
      </c>
      <c r="B384" t="s">
        <v>58</v>
      </c>
      <c r="C384" t="s">
        <v>112</v>
      </c>
      <c r="D384" t="s">
        <v>77</v>
      </c>
      <c r="E384" t="s">
        <v>1007</v>
      </c>
      <c r="F384">
        <v>2021</v>
      </c>
      <c r="G384" t="s">
        <v>370</v>
      </c>
      <c r="H384" t="s">
        <v>24</v>
      </c>
      <c r="I384" t="s">
        <v>61</v>
      </c>
      <c r="J384">
        <v>1.5</v>
      </c>
      <c r="K384">
        <v>27217</v>
      </c>
      <c r="L384" t="s">
        <v>26</v>
      </c>
      <c r="M384" t="s">
        <v>27</v>
      </c>
      <c r="N384" t="s">
        <v>28</v>
      </c>
      <c r="O384" t="s">
        <v>29</v>
      </c>
      <c r="P384" t="s">
        <v>86</v>
      </c>
      <c r="Q384">
        <v>8.3000000000000007</v>
      </c>
      <c r="R384">
        <v>5</v>
      </c>
    </row>
    <row r="385" spans="1:18" x14ac:dyDescent="0.3">
      <c r="A385" t="s">
        <v>1008</v>
      </c>
      <c r="B385" t="s">
        <v>40</v>
      </c>
      <c r="C385" t="s">
        <v>76</v>
      </c>
      <c r="D385" t="s">
        <v>50</v>
      </c>
      <c r="E385" t="s">
        <v>1009</v>
      </c>
      <c r="F385">
        <v>2014</v>
      </c>
      <c r="G385" t="s">
        <v>159</v>
      </c>
      <c r="H385" t="s">
        <v>96</v>
      </c>
      <c r="I385" t="s">
        <v>61</v>
      </c>
      <c r="J385">
        <v>13.4</v>
      </c>
      <c r="K385">
        <v>3696</v>
      </c>
      <c r="L385" t="s">
        <v>73</v>
      </c>
      <c r="M385" t="s">
        <v>27</v>
      </c>
      <c r="N385" t="s">
        <v>62</v>
      </c>
      <c r="O385" t="s">
        <v>29</v>
      </c>
      <c r="P385" t="s">
        <v>74</v>
      </c>
      <c r="Q385">
        <v>6.8</v>
      </c>
      <c r="R385">
        <v>12</v>
      </c>
    </row>
    <row r="386" spans="1:18" x14ac:dyDescent="0.3">
      <c r="A386" t="s">
        <v>1010</v>
      </c>
      <c r="B386" t="s">
        <v>58</v>
      </c>
      <c r="C386" t="s">
        <v>20</v>
      </c>
      <c r="D386" t="s">
        <v>77</v>
      </c>
      <c r="E386" t="s">
        <v>1011</v>
      </c>
      <c r="F386">
        <v>2017</v>
      </c>
      <c r="G386" t="s">
        <v>987</v>
      </c>
      <c r="H386" t="s">
        <v>24</v>
      </c>
      <c r="I386" t="s">
        <v>25</v>
      </c>
      <c r="J386">
        <v>1.2</v>
      </c>
      <c r="K386">
        <v>37517</v>
      </c>
      <c r="L386" t="s">
        <v>45</v>
      </c>
      <c r="M386" t="s">
        <v>80</v>
      </c>
      <c r="N386" t="s">
        <v>55</v>
      </c>
      <c r="O386" t="s">
        <v>118</v>
      </c>
      <c r="P386" t="s">
        <v>38</v>
      </c>
      <c r="Q386">
        <v>3.3</v>
      </c>
      <c r="R386">
        <v>9</v>
      </c>
    </row>
    <row r="387" spans="1:18" x14ac:dyDescent="0.3">
      <c r="A387" t="s">
        <v>1012</v>
      </c>
      <c r="B387" t="s">
        <v>40</v>
      </c>
      <c r="C387" t="s">
        <v>112</v>
      </c>
      <c r="D387" t="s">
        <v>21</v>
      </c>
      <c r="E387" t="s">
        <v>1013</v>
      </c>
      <c r="F387">
        <v>2019</v>
      </c>
      <c r="G387" t="s">
        <v>475</v>
      </c>
      <c r="H387" t="s">
        <v>35</v>
      </c>
      <c r="I387" t="s">
        <v>53</v>
      </c>
      <c r="J387">
        <v>0.8</v>
      </c>
      <c r="K387">
        <v>19594</v>
      </c>
      <c r="L387" t="s">
        <v>45</v>
      </c>
      <c r="M387" t="s">
        <v>80</v>
      </c>
      <c r="N387" t="s">
        <v>55</v>
      </c>
      <c r="O387" t="s">
        <v>29</v>
      </c>
      <c r="P387" t="s">
        <v>30</v>
      </c>
      <c r="Q387">
        <v>9.6999999999999993</v>
      </c>
      <c r="R387">
        <v>7</v>
      </c>
    </row>
    <row r="388" spans="1:18" x14ac:dyDescent="0.3">
      <c r="A388" t="s">
        <v>1014</v>
      </c>
      <c r="B388" t="s">
        <v>58</v>
      </c>
      <c r="C388" t="s">
        <v>32</v>
      </c>
      <c r="D388" t="s">
        <v>21</v>
      </c>
      <c r="E388" t="s">
        <v>1015</v>
      </c>
      <c r="F388">
        <v>2023</v>
      </c>
      <c r="G388" t="s">
        <v>148</v>
      </c>
      <c r="H388" t="s">
        <v>24</v>
      </c>
      <c r="I388" t="s">
        <v>44</v>
      </c>
      <c r="J388">
        <v>4.9000000000000004</v>
      </c>
      <c r="K388">
        <v>34262</v>
      </c>
      <c r="L388" t="s">
        <v>26</v>
      </c>
      <c r="M388" t="s">
        <v>37</v>
      </c>
      <c r="N388" t="s">
        <v>62</v>
      </c>
      <c r="O388" t="s">
        <v>29</v>
      </c>
      <c r="P388" t="s">
        <v>30</v>
      </c>
      <c r="Q388">
        <v>3.9</v>
      </c>
      <c r="R388">
        <v>3</v>
      </c>
    </row>
    <row r="389" spans="1:18" x14ac:dyDescent="0.3">
      <c r="A389" t="s">
        <v>1016</v>
      </c>
      <c r="B389" t="s">
        <v>49</v>
      </c>
      <c r="C389" t="s">
        <v>112</v>
      </c>
      <c r="D389" t="s">
        <v>21</v>
      </c>
      <c r="E389" t="s">
        <v>1017</v>
      </c>
      <c r="F389">
        <v>2016</v>
      </c>
      <c r="G389" t="s">
        <v>212</v>
      </c>
      <c r="H389" t="s">
        <v>24</v>
      </c>
      <c r="I389" t="s">
        <v>53</v>
      </c>
      <c r="J389">
        <v>17.7</v>
      </c>
      <c r="K389">
        <v>43747</v>
      </c>
      <c r="L389" t="s">
        <v>68</v>
      </c>
      <c r="M389" t="s">
        <v>27</v>
      </c>
      <c r="N389" t="s">
        <v>62</v>
      </c>
      <c r="O389" t="s">
        <v>29</v>
      </c>
      <c r="P389" t="s">
        <v>30</v>
      </c>
      <c r="Q389">
        <v>7</v>
      </c>
      <c r="R389">
        <v>10</v>
      </c>
    </row>
    <row r="390" spans="1:18" x14ac:dyDescent="0.3">
      <c r="A390" t="s">
        <v>1018</v>
      </c>
      <c r="B390" t="s">
        <v>40</v>
      </c>
      <c r="C390" t="s">
        <v>20</v>
      </c>
      <c r="D390" t="s">
        <v>41</v>
      </c>
      <c r="E390" t="s">
        <v>1019</v>
      </c>
      <c r="F390">
        <v>2019</v>
      </c>
      <c r="G390" t="s">
        <v>583</v>
      </c>
      <c r="H390" t="s">
        <v>24</v>
      </c>
      <c r="I390" t="s">
        <v>85</v>
      </c>
      <c r="J390">
        <v>10.3</v>
      </c>
      <c r="K390">
        <v>37068</v>
      </c>
      <c r="L390" t="s">
        <v>101</v>
      </c>
      <c r="M390" t="s">
        <v>27</v>
      </c>
      <c r="N390" t="s">
        <v>28</v>
      </c>
      <c r="O390" t="s">
        <v>46</v>
      </c>
      <c r="P390" t="s">
        <v>56</v>
      </c>
      <c r="Q390">
        <v>5.7</v>
      </c>
      <c r="R390">
        <v>7</v>
      </c>
    </row>
    <row r="391" spans="1:18" x14ac:dyDescent="0.3">
      <c r="A391" t="s">
        <v>1020</v>
      </c>
      <c r="B391" t="s">
        <v>58</v>
      </c>
      <c r="C391" t="s">
        <v>20</v>
      </c>
      <c r="D391" t="s">
        <v>50</v>
      </c>
      <c r="E391" t="s">
        <v>1021</v>
      </c>
      <c r="F391">
        <v>2019</v>
      </c>
      <c r="G391" t="s">
        <v>675</v>
      </c>
      <c r="H391" t="s">
        <v>35</v>
      </c>
      <c r="I391" t="s">
        <v>100</v>
      </c>
      <c r="J391">
        <v>3.3</v>
      </c>
      <c r="K391">
        <v>36308</v>
      </c>
      <c r="L391" t="s">
        <v>73</v>
      </c>
      <c r="M391" t="s">
        <v>27</v>
      </c>
      <c r="N391" t="s">
        <v>55</v>
      </c>
      <c r="O391" t="s">
        <v>118</v>
      </c>
      <c r="P391" t="s">
        <v>74</v>
      </c>
      <c r="Q391">
        <v>4</v>
      </c>
      <c r="R391">
        <v>7</v>
      </c>
    </row>
    <row r="392" spans="1:18" x14ac:dyDescent="0.3">
      <c r="A392" t="s">
        <v>1022</v>
      </c>
      <c r="B392" t="s">
        <v>49</v>
      </c>
      <c r="C392" t="s">
        <v>76</v>
      </c>
      <c r="D392" t="s">
        <v>65</v>
      </c>
      <c r="E392" t="s">
        <v>1023</v>
      </c>
      <c r="F392">
        <v>2014</v>
      </c>
      <c r="G392" t="s">
        <v>627</v>
      </c>
      <c r="H392" t="s">
        <v>24</v>
      </c>
      <c r="I392" t="s">
        <v>44</v>
      </c>
      <c r="J392">
        <v>11.3</v>
      </c>
      <c r="K392">
        <v>25360</v>
      </c>
      <c r="L392" t="s">
        <v>45</v>
      </c>
      <c r="M392" t="s">
        <v>54</v>
      </c>
      <c r="N392" t="s">
        <v>55</v>
      </c>
      <c r="O392" t="s">
        <v>46</v>
      </c>
      <c r="P392" t="s">
        <v>30</v>
      </c>
      <c r="Q392">
        <v>6.8</v>
      </c>
      <c r="R392">
        <v>12</v>
      </c>
    </row>
    <row r="393" spans="1:18" x14ac:dyDescent="0.3">
      <c r="A393" t="s">
        <v>1024</v>
      </c>
      <c r="B393" t="s">
        <v>58</v>
      </c>
      <c r="C393" t="s">
        <v>64</v>
      </c>
      <c r="D393" t="s">
        <v>93</v>
      </c>
      <c r="E393" t="s">
        <v>1025</v>
      </c>
      <c r="F393">
        <v>2022</v>
      </c>
      <c r="G393" t="s">
        <v>754</v>
      </c>
      <c r="H393" t="s">
        <v>35</v>
      </c>
      <c r="I393" t="s">
        <v>100</v>
      </c>
      <c r="J393">
        <v>3.2</v>
      </c>
      <c r="K393">
        <v>20055</v>
      </c>
      <c r="L393" t="s">
        <v>68</v>
      </c>
      <c r="M393" t="s">
        <v>27</v>
      </c>
      <c r="N393" t="s">
        <v>62</v>
      </c>
      <c r="O393" t="s">
        <v>118</v>
      </c>
      <c r="P393" t="s">
        <v>30</v>
      </c>
      <c r="Q393">
        <v>1.4</v>
      </c>
      <c r="R393">
        <v>4</v>
      </c>
    </row>
    <row r="394" spans="1:18" x14ac:dyDescent="0.3">
      <c r="A394" t="s">
        <v>1026</v>
      </c>
      <c r="B394" t="s">
        <v>19</v>
      </c>
      <c r="C394" t="s">
        <v>64</v>
      </c>
      <c r="D394" t="s">
        <v>21</v>
      </c>
      <c r="E394" t="s">
        <v>1027</v>
      </c>
      <c r="F394">
        <v>2024</v>
      </c>
      <c r="G394" t="s">
        <v>107</v>
      </c>
      <c r="H394" t="s">
        <v>96</v>
      </c>
      <c r="I394" t="s">
        <v>61</v>
      </c>
      <c r="J394">
        <v>2.4</v>
      </c>
      <c r="K394">
        <v>14057</v>
      </c>
      <c r="L394" t="s">
        <v>26</v>
      </c>
      <c r="M394" t="s">
        <v>80</v>
      </c>
      <c r="N394" t="s">
        <v>62</v>
      </c>
      <c r="O394" t="s">
        <v>46</v>
      </c>
      <c r="P394" t="s">
        <v>47</v>
      </c>
      <c r="Q394">
        <v>6.8</v>
      </c>
      <c r="R394">
        <v>2</v>
      </c>
    </row>
    <row r="395" spans="1:18" x14ac:dyDescent="0.3">
      <c r="A395" t="s">
        <v>1028</v>
      </c>
      <c r="B395" t="s">
        <v>49</v>
      </c>
      <c r="C395" t="s">
        <v>20</v>
      </c>
      <c r="D395" t="s">
        <v>41</v>
      </c>
      <c r="E395" t="s">
        <v>1029</v>
      </c>
      <c r="F395">
        <v>2022</v>
      </c>
      <c r="G395" t="s">
        <v>815</v>
      </c>
      <c r="H395" t="s">
        <v>24</v>
      </c>
      <c r="I395" t="s">
        <v>100</v>
      </c>
      <c r="J395">
        <v>13.1</v>
      </c>
      <c r="K395">
        <v>2357</v>
      </c>
      <c r="L395" t="s">
        <v>73</v>
      </c>
      <c r="M395" t="s">
        <v>27</v>
      </c>
      <c r="N395" t="s">
        <v>28</v>
      </c>
      <c r="O395" t="s">
        <v>118</v>
      </c>
      <c r="P395" t="s">
        <v>38</v>
      </c>
      <c r="Q395">
        <v>1.1000000000000001</v>
      </c>
      <c r="R395">
        <v>4</v>
      </c>
    </row>
    <row r="396" spans="1:18" x14ac:dyDescent="0.3">
      <c r="A396" t="s">
        <v>1030</v>
      </c>
      <c r="B396" t="s">
        <v>58</v>
      </c>
      <c r="C396" t="s">
        <v>20</v>
      </c>
      <c r="D396" t="s">
        <v>50</v>
      </c>
      <c r="E396" t="s">
        <v>1031</v>
      </c>
      <c r="F396">
        <v>2022</v>
      </c>
      <c r="G396" t="s">
        <v>315</v>
      </c>
      <c r="H396" t="s">
        <v>35</v>
      </c>
      <c r="I396" t="s">
        <v>100</v>
      </c>
      <c r="J396">
        <v>5.2</v>
      </c>
      <c r="K396">
        <v>4164</v>
      </c>
      <c r="L396" t="s">
        <v>101</v>
      </c>
      <c r="M396" t="s">
        <v>80</v>
      </c>
      <c r="N396" t="s">
        <v>55</v>
      </c>
      <c r="O396" t="s">
        <v>29</v>
      </c>
      <c r="P396" t="s">
        <v>56</v>
      </c>
      <c r="Q396">
        <v>9.6</v>
      </c>
      <c r="R396">
        <v>4</v>
      </c>
    </row>
    <row r="397" spans="1:18" x14ac:dyDescent="0.3">
      <c r="A397" t="s">
        <v>1032</v>
      </c>
      <c r="B397" t="s">
        <v>40</v>
      </c>
      <c r="C397" t="s">
        <v>32</v>
      </c>
      <c r="D397" t="s">
        <v>82</v>
      </c>
      <c r="E397" t="s">
        <v>1033</v>
      </c>
      <c r="F397">
        <v>2015</v>
      </c>
      <c r="G397" t="s">
        <v>117</v>
      </c>
      <c r="H397" t="s">
        <v>24</v>
      </c>
      <c r="I397" t="s">
        <v>100</v>
      </c>
      <c r="J397">
        <v>12</v>
      </c>
      <c r="K397">
        <v>38857</v>
      </c>
      <c r="L397" t="s">
        <v>101</v>
      </c>
      <c r="M397" t="s">
        <v>54</v>
      </c>
      <c r="N397" t="s">
        <v>62</v>
      </c>
      <c r="O397" t="s">
        <v>46</v>
      </c>
      <c r="P397" t="s">
        <v>74</v>
      </c>
      <c r="Q397">
        <v>4.4000000000000004</v>
      </c>
      <c r="R397">
        <v>11</v>
      </c>
    </row>
    <row r="398" spans="1:18" x14ac:dyDescent="0.3">
      <c r="A398" t="s">
        <v>1034</v>
      </c>
      <c r="B398" t="s">
        <v>49</v>
      </c>
      <c r="C398" t="s">
        <v>20</v>
      </c>
      <c r="D398" t="s">
        <v>65</v>
      </c>
      <c r="E398" t="s">
        <v>1035</v>
      </c>
      <c r="F398">
        <v>2015</v>
      </c>
      <c r="G398" t="s">
        <v>438</v>
      </c>
      <c r="H398" t="s">
        <v>24</v>
      </c>
      <c r="I398" t="s">
        <v>25</v>
      </c>
      <c r="J398">
        <v>8</v>
      </c>
      <c r="K398">
        <v>8322</v>
      </c>
      <c r="L398" t="s">
        <v>73</v>
      </c>
      <c r="M398" t="s">
        <v>54</v>
      </c>
      <c r="N398" t="s">
        <v>62</v>
      </c>
      <c r="O398" t="s">
        <v>118</v>
      </c>
      <c r="P398" t="s">
        <v>74</v>
      </c>
      <c r="Q398">
        <v>3.7</v>
      </c>
      <c r="R398">
        <v>11</v>
      </c>
    </row>
    <row r="399" spans="1:18" x14ac:dyDescent="0.3">
      <c r="A399" t="s">
        <v>1036</v>
      </c>
      <c r="B399" t="s">
        <v>49</v>
      </c>
      <c r="C399" t="s">
        <v>76</v>
      </c>
      <c r="D399" t="s">
        <v>77</v>
      </c>
      <c r="E399" t="s">
        <v>1037</v>
      </c>
      <c r="F399">
        <v>2016</v>
      </c>
      <c r="G399" t="s">
        <v>803</v>
      </c>
      <c r="H399" t="s">
        <v>96</v>
      </c>
      <c r="I399" t="s">
        <v>100</v>
      </c>
      <c r="J399">
        <v>17.899999999999999</v>
      </c>
      <c r="K399">
        <v>22776</v>
      </c>
      <c r="L399" t="s">
        <v>68</v>
      </c>
      <c r="M399" t="s">
        <v>27</v>
      </c>
      <c r="N399" t="s">
        <v>62</v>
      </c>
      <c r="O399" t="s">
        <v>118</v>
      </c>
      <c r="P399" t="s">
        <v>38</v>
      </c>
      <c r="Q399">
        <v>3.6</v>
      </c>
      <c r="R399">
        <v>10</v>
      </c>
    </row>
    <row r="400" spans="1:18" x14ac:dyDescent="0.3">
      <c r="A400" t="s">
        <v>1038</v>
      </c>
      <c r="B400" t="s">
        <v>49</v>
      </c>
      <c r="C400" t="s">
        <v>64</v>
      </c>
      <c r="D400" t="s">
        <v>82</v>
      </c>
      <c r="E400" t="s">
        <v>1039</v>
      </c>
      <c r="F400">
        <v>2017</v>
      </c>
      <c r="G400" t="s">
        <v>751</v>
      </c>
      <c r="H400" t="s">
        <v>35</v>
      </c>
      <c r="I400" t="s">
        <v>25</v>
      </c>
      <c r="J400">
        <v>4.9000000000000004</v>
      </c>
      <c r="K400">
        <v>31148</v>
      </c>
      <c r="L400" t="s">
        <v>36</v>
      </c>
      <c r="M400" t="s">
        <v>27</v>
      </c>
      <c r="N400" t="s">
        <v>28</v>
      </c>
      <c r="O400" t="s">
        <v>46</v>
      </c>
      <c r="P400" t="s">
        <v>30</v>
      </c>
      <c r="Q400">
        <v>9.8000000000000007</v>
      </c>
      <c r="R400">
        <v>9</v>
      </c>
    </row>
    <row r="401" spans="1:18" x14ac:dyDescent="0.3">
      <c r="A401" t="s">
        <v>1040</v>
      </c>
      <c r="B401" t="s">
        <v>49</v>
      </c>
      <c r="C401" t="s">
        <v>64</v>
      </c>
      <c r="D401" t="s">
        <v>77</v>
      </c>
      <c r="E401" t="s">
        <v>1041</v>
      </c>
      <c r="F401">
        <v>2023</v>
      </c>
      <c r="G401" t="s">
        <v>1042</v>
      </c>
      <c r="H401" t="s">
        <v>24</v>
      </c>
      <c r="I401" t="s">
        <v>61</v>
      </c>
      <c r="J401">
        <v>4.3</v>
      </c>
      <c r="K401">
        <v>22137</v>
      </c>
      <c r="L401" t="s">
        <v>26</v>
      </c>
      <c r="M401" t="s">
        <v>37</v>
      </c>
      <c r="N401" t="s">
        <v>62</v>
      </c>
      <c r="O401" t="s">
        <v>46</v>
      </c>
      <c r="P401" t="s">
        <v>74</v>
      </c>
      <c r="Q401">
        <v>5.9</v>
      </c>
      <c r="R401">
        <v>3</v>
      </c>
    </row>
    <row r="402" spans="1:18" x14ac:dyDescent="0.3">
      <c r="A402" t="s">
        <v>1043</v>
      </c>
      <c r="B402" t="s">
        <v>19</v>
      </c>
      <c r="C402" t="s">
        <v>112</v>
      </c>
      <c r="D402" t="s">
        <v>82</v>
      </c>
      <c r="E402" t="s">
        <v>1044</v>
      </c>
      <c r="F402">
        <v>2023</v>
      </c>
      <c r="G402" t="s">
        <v>43</v>
      </c>
      <c r="H402" t="s">
        <v>24</v>
      </c>
      <c r="I402" t="s">
        <v>61</v>
      </c>
      <c r="J402">
        <v>5.0999999999999996</v>
      </c>
      <c r="K402">
        <v>39652</v>
      </c>
      <c r="L402" t="s">
        <v>73</v>
      </c>
      <c r="M402" t="s">
        <v>54</v>
      </c>
      <c r="N402" t="s">
        <v>55</v>
      </c>
      <c r="O402" t="s">
        <v>118</v>
      </c>
      <c r="P402" t="s">
        <v>30</v>
      </c>
      <c r="Q402">
        <v>5.9</v>
      </c>
      <c r="R402">
        <v>3</v>
      </c>
    </row>
    <row r="403" spans="1:18" x14ac:dyDescent="0.3">
      <c r="A403" t="s">
        <v>1045</v>
      </c>
      <c r="B403" t="s">
        <v>19</v>
      </c>
      <c r="C403" t="s">
        <v>20</v>
      </c>
      <c r="D403" t="s">
        <v>50</v>
      </c>
      <c r="E403" t="s">
        <v>1046</v>
      </c>
      <c r="F403">
        <v>2023</v>
      </c>
      <c r="G403" t="s">
        <v>305</v>
      </c>
      <c r="H403" t="s">
        <v>24</v>
      </c>
      <c r="I403" t="s">
        <v>85</v>
      </c>
      <c r="J403">
        <v>14.9</v>
      </c>
      <c r="K403">
        <v>39263</v>
      </c>
      <c r="L403" t="s">
        <v>26</v>
      </c>
      <c r="M403" t="s">
        <v>37</v>
      </c>
      <c r="N403" t="s">
        <v>28</v>
      </c>
      <c r="O403" t="s">
        <v>46</v>
      </c>
      <c r="P403" t="s">
        <v>74</v>
      </c>
      <c r="Q403">
        <v>4.0999999999999996</v>
      </c>
      <c r="R403">
        <v>3</v>
      </c>
    </row>
    <row r="404" spans="1:18" x14ac:dyDescent="0.3">
      <c r="A404" t="s">
        <v>1047</v>
      </c>
      <c r="B404" t="s">
        <v>70</v>
      </c>
      <c r="C404" t="s">
        <v>20</v>
      </c>
      <c r="D404" t="s">
        <v>50</v>
      </c>
      <c r="E404" t="s">
        <v>1048</v>
      </c>
      <c r="F404">
        <v>2014</v>
      </c>
      <c r="G404" t="s">
        <v>1049</v>
      </c>
      <c r="H404" t="s">
        <v>24</v>
      </c>
      <c r="I404" t="s">
        <v>44</v>
      </c>
      <c r="J404">
        <v>15.7</v>
      </c>
      <c r="K404">
        <v>16358</v>
      </c>
      <c r="L404" t="s">
        <v>101</v>
      </c>
      <c r="M404" t="s">
        <v>80</v>
      </c>
      <c r="N404" t="s">
        <v>62</v>
      </c>
      <c r="O404" t="s">
        <v>46</v>
      </c>
      <c r="P404" t="s">
        <v>47</v>
      </c>
      <c r="Q404">
        <v>1</v>
      </c>
      <c r="R404">
        <v>12</v>
      </c>
    </row>
    <row r="405" spans="1:18" x14ac:dyDescent="0.3">
      <c r="A405" t="s">
        <v>1050</v>
      </c>
      <c r="B405" t="s">
        <v>70</v>
      </c>
      <c r="C405" t="s">
        <v>32</v>
      </c>
      <c r="D405" t="s">
        <v>93</v>
      </c>
      <c r="E405" t="s">
        <v>1051</v>
      </c>
      <c r="F405">
        <v>2022</v>
      </c>
      <c r="G405" t="s">
        <v>540</v>
      </c>
      <c r="H405" t="s">
        <v>24</v>
      </c>
      <c r="I405" t="s">
        <v>100</v>
      </c>
      <c r="J405">
        <v>12.7</v>
      </c>
      <c r="K405">
        <v>11539</v>
      </c>
      <c r="L405" t="s">
        <v>26</v>
      </c>
      <c r="M405" t="s">
        <v>27</v>
      </c>
      <c r="N405" t="s">
        <v>55</v>
      </c>
      <c r="O405" t="s">
        <v>46</v>
      </c>
      <c r="P405" t="s">
        <v>74</v>
      </c>
      <c r="Q405">
        <v>5.3</v>
      </c>
      <c r="R405">
        <v>4</v>
      </c>
    </row>
    <row r="406" spans="1:18" x14ac:dyDescent="0.3">
      <c r="A406" t="s">
        <v>1052</v>
      </c>
      <c r="B406" t="s">
        <v>70</v>
      </c>
      <c r="C406" t="s">
        <v>76</v>
      </c>
      <c r="D406" t="s">
        <v>21</v>
      </c>
      <c r="E406" t="s">
        <v>1053</v>
      </c>
      <c r="F406">
        <v>2017</v>
      </c>
      <c r="G406" t="s">
        <v>441</v>
      </c>
      <c r="H406" t="s">
        <v>24</v>
      </c>
      <c r="I406" t="s">
        <v>44</v>
      </c>
      <c r="J406">
        <v>8.8000000000000007</v>
      </c>
      <c r="K406">
        <v>4731</v>
      </c>
      <c r="L406" t="s">
        <v>45</v>
      </c>
      <c r="M406" t="s">
        <v>27</v>
      </c>
      <c r="N406" t="s">
        <v>55</v>
      </c>
      <c r="O406" t="s">
        <v>29</v>
      </c>
      <c r="P406" t="s">
        <v>47</v>
      </c>
      <c r="Q406">
        <v>5.3</v>
      </c>
      <c r="R406">
        <v>9</v>
      </c>
    </row>
    <row r="407" spans="1:18" x14ac:dyDescent="0.3">
      <c r="A407" t="s">
        <v>1054</v>
      </c>
      <c r="B407" t="s">
        <v>40</v>
      </c>
      <c r="C407" t="s">
        <v>76</v>
      </c>
      <c r="D407" t="s">
        <v>93</v>
      </c>
      <c r="E407" t="s">
        <v>1055</v>
      </c>
      <c r="F407">
        <v>2025</v>
      </c>
      <c r="G407" t="s">
        <v>645</v>
      </c>
      <c r="H407" t="s">
        <v>24</v>
      </c>
      <c r="I407" t="s">
        <v>85</v>
      </c>
      <c r="J407">
        <v>11.9</v>
      </c>
      <c r="K407">
        <v>14351</v>
      </c>
      <c r="L407" t="s">
        <v>45</v>
      </c>
      <c r="M407" t="s">
        <v>54</v>
      </c>
      <c r="N407" t="s">
        <v>28</v>
      </c>
      <c r="O407" t="s">
        <v>29</v>
      </c>
      <c r="P407" t="s">
        <v>86</v>
      </c>
      <c r="Q407">
        <v>7.9</v>
      </c>
      <c r="R407">
        <v>1</v>
      </c>
    </row>
    <row r="408" spans="1:18" x14ac:dyDescent="0.3">
      <c r="A408" t="s">
        <v>1056</v>
      </c>
      <c r="B408" t="s">
        <v>49</v>
      </c>
      <c r="C408" t="s">
        <v>112</v>
      </c>
      <c r="D408" t="s">
        <v>41</v>
      </c>
      <c r="E408" t="s">
        <v>1057</v>
      </c>
      <c r="F408">
        <v>2019</v>
      </c>
      <c r="G408" t="s">
        <v>275</v>
      </c>
      <c r="H408" t="s">
        <v>35</v>
      </c>
      <c r="I408" t="s">
        <v>85</v>
      </c>
      <c r="J408">
        <v>6.9</v>
      </c>
      <c r="K408">
        <v>13983</v>
      </c>
      <c r="L408" t="s">
        <v>68</v>
      </c>
      <c r="M408" t="s">
        <v>37</v>
      </c>
      <c r="N408" t="s">
        <v>62</v>
      </c>
      <c r="O408" t="s">
        <v>46</v>
      </c>
      <c r="P408" t="s">
        <v>30</v>
      </c>
      <c r="Q408">
        <v>7.8</v>
      </c>
      <c r="R408">
        <v>7</v>
      </c>
    </row>
    <row r="409" spans="1:18" x14ac:dyDescent="0.3">
      <c r="A409" t="s">
        <v>1058</v>
      </c>
      <c r="B409" t="s">
        <v>49</v>
      </c>
      <c r="C409" t="s">
        <v>76</v>
      </c>
      <c r="D409" t="s">
        <v>93</v>
      </c>
      <c r="E409" t="s">
        <v>1059</v>
      </c>
      <c r="F409">
        <v>2016</v>
      </c>
      <c r="G409" t="s">
        <v>357</v>
      </c>
      <c r="H409" t="s">
        <v>24</v>
      </c>
      <c r="I409" t="s">
        <v>44</v>
      </c>
      <c r="J409">
        <v>16.7</v>
      </c>
      <c r="K409">
        <v>16801</v>
      </c>
      <c r="L409" t="s">
        <v>73</v>
      </c>
      <c r="M409" t="s">
        <v>37</v>
      </c>
      <c r="N409" t="s">
        <v>28</v>
      </c>
      <c r="O409" t="s">
        <v>46</v>
      </c>
      <c r="P409" t="s">
        <v>30</v>
      </c>
      <c r="Q409">
        <v>1.6</v>
      </c>
      <c r="R409">
        <v>10</v>
      </c>
    </row>
    <row r="410" spans="1:18" x14ac:dyDescent="0.3">
      <c r="A410" t="s">
        <v>1060</v>
      </c>
      <c r="B410" t="s">
        <v>49</v>
      </c>
      <c r="C410" t="s">
        <v>64</v>
      </c>
      <c r="D410" t="s">
        <v>50</v>
      </c>
      <c r="E410" t="s">
        <v>1061</v>
      </c>
      <c r="F410">
        <v>2014</v>
      </c>
      <c r="G410" t="s">
        <v>490</v>
      </c>
      <c r="H410" t="s">
        <v>35</v>
      </c>
      <c r="I410" t="s">
        <v>53</v>
      </c>
      <c r="J410">
        <v>0.7</v>
      </c>
      <c r="K410">
        <v>8792</v>
      </c>
      <c r="L410" t="s">
        <v>68</v>
      </c>
      <c r="M410" t="s">
        <v>27</v>
      </c>
      <c r="N410" t="s">
        <v>55</v>
      </c>
      <c r="O410" t="s">
        <v>29</v>
      </c>
      <c r="P410" t="s">
        <v>86</v>
      </c>
      <c r="Q410">
        <v>2.5</v>
      </c>
      <c r="R410">
        <v>12</v>
      </c>
    </row>
    <row r="411" spans="1:18" x14ac:dyDescent="0.3">
      <c r="A411" t="s">
        <v>1062</v>
      </c>
      <c r="B411" t="s">
        <v>40</v>
      </c>
      <c r="C411" t="s">
        <v>32</v>
      </c>
      <c r="D411" t="s">
        <v>93</v>
      </c>
      <c r="E411" t="s">
        <v>1063</v>
      </c>
      <c r="F411">
        <v>2022</v>
      </c>
      <c r="G411" t="s">
        <v>379</v>
      </c>
      <c r="H411" t="s">
        <v>35</v>
      </c>
      <c r="I411" t="s">
        <v>100</v>
      </c>
      <c r="J411">
        <v>9</v>
      </c>
      <c r="K411">
        <v>10763</v>
      </c>
      <c r="L411" t="s">
        <v>101</v>
      </c>
      <c r="M411" t="s">
        <v>80</v>
      </c>
      <c r="N411" t="s">
        <v>55</v>
      </c>
      <c r="O411" t="s">
        <v>46</v>
      </c>
      <c r="P411" t="s">
        <v>38</v>
      </c>
      <c r="Q411">
        <v>5.5</v>
      </c>
      <c r="R411">
        <v>4</v>
      </c>
    </row>
    <row r="412" spans="1:18" x14ac:dyDescent="0.3">
      <c r="A412" t="s">
        <v>1064</v>
      </c>
      <c r="B412" t="s">
        <v>19</v>
      </c>
      <c r="C412" t="s">
        <v>20</v>
      </c>
      <c r="D412" t="s">
        <v>21</v>
      </c>
      <c r="E412" t="s">
        <v>1065</v>
      </c>
      <c r="F412">
        <v>2018</v>
      </c>
      <c r="G412" t="s">
        <v>1066</v>
      </c>
      <c r="H412" t="s">
        <v>35</v>
      </c>
      <c r="I412" t="s">
        <v>100</v>
      </c>
      <c r="J412">
        <v>5.2</v>
      </c>
      <c r="K412">
        <v>31971</v>
      </c>
      <c r="L412" t="s">
        <v>101</v>
      </c>
      <c r="M412" t="s">
        <v>80</v>
      </c>
      <c r="N412" t="s">
        <v>28</v>
      </c>
      <c r="O412" t="s">
        <v>118</v>
      </c>
      <c r="P412" t="s">
        <v>38</v>
      </c>
      <c r="Q412">
        <v>3.1</v>
      </c>
      <c r="R412">
        <v>8</v>
      </c>
    </row>
    <row r="413" spans="1:18" x14ac:dyDescent="0.3">
      <c r="A413" t="s">
        <v>1067</v>
      </c>
      <c r="B413" t="s">
        <v>19</v>
      </c>
      <c r="C413" t="s">
        <v>112</v>
      </c>
      <c r="D413" t="s">
        <v>77</v>
      </c>
      <c r="E413" t="s">
        <v>1068</v>
      </c>
      <c r="F413">
        <v>2024</v>
      </c>
      <c r="G413" t="s">
        <v>1069</v>
      </c>
      <c r="H413" t="s">
        <v>96</v>
      </c>
      <c r="I413" t="s">
        <v>25</v>
      </c>
      <c r="J413">
        <v>7.3</v>
      </c>
      <c r="K413">
        <v>26449</v>
      </c>
      <c r="L413" t="s">
        <v>45</v>
      </c>
      <c r="M413" t="s">
        <v>80</v>
      </c>
      <c r="N413" t="s">
        <v>55</v>
      </c>
      <c r="O413" t="s">
        <v>118</v>
      </c>
      <c r="P413" t="s">
        <v>74</v>
      </c>
      <c r="Q413">
        <v>5.5</v>
      </c>
      <c r="R413">
        <v>2</v>
      </c>
    </row>
    <row r="414" spans="1:18" x14ac:dyDescent="0.3">
      <c r="A414" t="s">
        <v>1070</v>
      </c>
      <c r="B414" t="s">
        <v>49</v>
      </c>
      <c r="C414" t="s">
        <v>76</v>
      </c>
      <c r="D414" t="s">
        <v>93</v>
      </c>
      <c r="E414" t="s">
        <v>1071</v>
      </c>
      <c r="F414">
        <v>2016</v>
      </c>
      <c r="G414" t="s">
        <v>444</v>
      </c>
      <c r="H414" t="s">
        <v>96</v>
      </c>
      <c r="I414" t="s">
        <v>44</v>
      </c>
      <c r="J414">
        <v>1.2</v>
      </c>
      <c r="K414">
        <v>36195</v>
      </c>
      <c r="L414" t="s">
        <v>68</v>
      </c>
      <c r="M414" t="s">
        <v>37</v>
      </c>
      <c r="N414" t="s">
        <v>55</v>
      </c>
      <c r="O414" t="s">
        <v>118</v>
      </c>
      <c r="P414" t="s">
        <v>38</v>
      </c>
      <c r="Q414">
        <v>2</v>
      </c>
      <c r="R414">
        <v>10</v>
      </c>
    </row>
    <row r="415" spans="1:18" x14ac:dyDescent="0.3">
      <c r="A415" t="s">
        <v>1072</v>
      </c>
      <c r="B415" t="s">
        <v>70</v>
      </c>
      <c r="C415" t="s">
        <v>20</v>
      </c>
      <c r="D415" t="s">
        <v>65</v>
      </c>
      <c r="E415" t="s">
        <v>1073</v>
      </c>
      <c r="F415">
        <v>2019</v>
      </c>
      <c r="G415" t="s">
        <v>275</v>
      </c>
      <c r="H415" t="s">
        <v>24</v>
      </c>
      <c r="I415" t="s">
        <v>100</v>
      </c>
      <c r="J415">
        <v>5.3</v>
      </c>
      <c r="K415">
        <v>5563</v>
      </c>
      <c r="L415" t="s">
        <v>101</v>
      </c>
      <c r="M415" t="s">
        <v>37</v>
      </c>
      <c r="N415" t="s">
        <v>55</v>
      </c>
      <c r="O415" t="s">
        <v>29</v>
      </c>
      <c r="P415" t="s">
        <v>74</v>
      </c>
      <c r="Q415">
        <v>9.5</v>
      </c>
      <c r="R415">
        <v>7</v>
      </c>
    </row>
    <row r="416" spans="1:18" x14ac:dyDescent="0.3">
      <c r="A416" t="s">
        <v>1074</v>
      </c>
      <c r="B416" t="s">
        <v>70</v>
      </c>
      <c r="C416" t="s">
        <v>76</v>
      </c>
      <c r="D416" t="s">
        <v>65</v>
      </c>
      <c r="E416" t="s">
        <v>1075</v>
      </c>
      <c r="F416">
        <v>2017</v>
      </c>
      <c r="G416" t="s">
        <v>142</v>
      </c>
      <c r="H416" t="s">
        <v>24</v>
      </c>
      <c r="I416" t="s">
        <v>25</v>
      </c>
      <c r="J416">
        <v>7.2</v>
      </c>
      <c r="K416">
        <v>41637</v>
      </c>
      <c r="L416" t="s">
        <v>101</v>
      </c>
      <c r="M416" t="s">
        <v>54</v>
      </c>
      <c r="N416" t="s">
        <v>55</v>
      </c>
      <c r="O416" t="s">
        <v>29</v>
      </c>
      <c r="P416" t="s">
        <v>74</v>
      </c>
      <c r="Q416">
        <v>2</v>
      </c>
      <c r="R416">
        <v>9</v>
      </c>
    </row>
    <row r="417" spans="1:18" x14ac:dyDescent="0.3">
      <c r="A417" t="s">
        <v>1076</v>
      </c>
      <c r="B417" t="s">
        <v>70</v>
      </c>
      <c r="C417" t="s">
        <v>76</v>
      </c>
      <c r="D417" t="s">
        <v>93</v>
      </c>
      <c r="E417" t="s">
        <v>1077</v>
      </c>
      <c r="F417">
        <v>2018</v>
      </c>
      <c r="G417" t="s">
        <v>34</v>
      </c>
      <c r="H417" t="s">
        <v>24</v>
      </c>
      <c r="I417" t="s">
        <v>25</v>
      </c>
      <c r="J417">
        <v>2.9</v>
      </c>
      <c r="K417">
        <v>36978</v>
      </c>
      <c r="L417" t="s">
        <v>101</v>
      </c>
      <c r="M417" t="s">
        <v>54</v>
      </c>
      <c r="N417" t="s">
        <v>28</v>
      </c>
      <c r="O417" t="s">
        <v>118</v>
      </c>
      <c r="P417" t="s">
        <v>38</v>
      </c>
      <c r="Q417">
        <v>7.2</v>
      </c>
      <c r="R417">
        <v>8</v>
      </c>
    </row>
    <row r="418" spans="1:18" x14ac:dyDescent="0.3">
      <c r="A418" t="s">
        <v>1078</v>
      </c>
      <c r="B418" t="s">
        <v>58</v>
      </c>
      <c r="C418" t="s">
        <v>64</v>
      </c>
      <c r="D418" t="s">
        <v>65</v>
      </c>
      <c r="E418" t="s">
        <v>1079</v>
      </c>
      <c r="F418">
        <v>2022</v>
      </c>
      <c r="G418" t="s">
        <v>462</v>
      </c>
      <c r="H418" t="s">
        <v>96</v>
      </c>
      <c r="I418" t="s">
        <v>61</v>
      </c>
      <c r="J418">
        <v>6.1</v>
      </c>
      <c r="K418">
        <v>38025</v>
      </c>
      <c r="L418" t="s">
        <v>45</v>
      </c>
      <c r="M418" t="s">
        <v>80</v>
      </c>
      <c r="N418" t="s">
        <v>28</v>
      </c>
      <c r="O418" t="s">
        <v>118</v>
      </c>
      <c r="P418" t="s">
        <v>56</v>
      </c>
      <c r="Q418">
        <v>7.4</v>
      </c>
      <c r="R418">
        <v>4</v>
      </c>
    </row>
    <row r="419" spans="1:18" x14ac:dyDescent="0.3">
      <c r="A419" t="s">
        <v>1080</v>
      </c>
      <c r="B419" t="s">
        <v>58</v>
      </c>
      <c r="C419" t="s">
        <v>20</v>
      </c>
      <c r="D419" t="s">
        <v>82</v>
      </c>
      <c r="E419" t="s">
        <v>1081</v>
      </c>
      <c r="F419">
        <v>2019</v>
      </c>
      <c r="G419" t="s">
        <v>557</v>
      </c>
      <c r="H419" t="s">
        <v>35</v>
      </c>
      <c r="I419" t="s">
        <v>25</v>
      </c>
      <c r="J419">
        <v>16.8</v>
      </c>
      <c r="K419">
        <v>19443</v>
      </c>
      <c r="L419" t="s">
        <v>73</v>
      </c>
      <c r="M419" t="s">
        <v>54</v>
      </c>
      <c r="N419" t="s">
        <v>28</v>
      </c>
      <c r="O419" t="s">
        <v>29</v>
      </c>
      <c r="P419" t="s">
        <v>56</v>
      </c>
      <c r="Q419">
        <v>0.7</v>
      </c>
      <c r="R419">
        <v>7</v>
      </c>
    </row>
    <row r="420" spans="1:18" x14ac:dyDescent="0.3">
      <c r="A420" t="s">
        <v>1082</v>
      </c>
      <c r="B420" t="s">
        <v>70</v>
      </c>
      <c r="C420" t="s">
        <v>32</v>
      </c>
      <c r="D420" t="s">
        <v>93</v>
      </c>
      <c r="E420" t="s">
        <v>1083</v>
      </c>
      <c r="F420">
        <v>2023</v>
      </c>
      <c r="G420" t="s">
        <v>365</v>
      </c>
      <c r="H420" t="s">
        <v>35</v>
      </c>
      <c r="I420" t="s">
        <v>100</v>
      </c>
      <c r="J420">
        <v>4.5999999999999996</v>
      </c>
      <c r="K420">
        <v>3209</v>
      </c>
      <c r="L420" t="s">
        <v>68</v>
      </c>
      <c r="M420" t="s">
        <v>80</v>
      </c>
      <c r="N420" t="s">
        <v>62</v>
      </c>
      <c r="O420" t="s">
        <v>118</v>
      </c>
      <c r="P420" t="s">
        <v>56</v>
      </c>
      <c r="Q420">
        <v>5.3</v>
      </c>
      <c r="R420">
        <v>3</v>
      </c>
    </row>
    <row r="421" spans="1:18" x14ac:dyDescent="0.3">
      <c r="A421" t="s">
        <v>1084</v>
      </c>
      <c r="B421" t="s">
        <v>70</v>
      </c>
      <c r="C421" t="s">
        <v>64</v>
      </c>
      <c r="D421" t="s">
        <v>50</v>
      </c>
      <c r="E421" t="s">
        <v>1085</v>
      </c>
      <c r="F421">
        <v>2023</v>
      </c>
      <c r="G421" t="s">
        <v>194</v>
      </c>
      <c r="H421" t="s">
        <v>24</v>
      </c>
      <c r="I421" t="s">
        <v>85</v>
      </c>
      <c r="J421">
        <v>2.9</v>
      </c>
      <c r="K421">
        <v>14165</v>
      </c>
      <c r="L421" t="s">
        <v>73</v>
      </c>
      <c r="M421" t="s">
        <v>80</v>
      </c>
      <c r="N421" t="s">
        <v>55</v>
      </c>
      <c r="O421" t="s">
        <v>29</v>
      </c>
      <c r="P421" t="s">
        <v>86</v>
      </c>
      <c r="Q421">
        <v>9.5</v>
      </c>
      <c r="R421">
        <v>3</v>
      </c>
    </row>
    <row r="422" spans="1:18" x14ac:dyDescent="0.3">
      <c r="A422" t="s">
        <v>1086</v>
      </c>
      <c r="B422" t="s">
        <v>40</v>
      </c>
      <c r="C422" t="s">
        <v>64</v>
      </c>
      <c r="D422" t="s">
        <v>41</v>
      </c>
      <c r="E422" t="s">
        <v>1087</v>
      </c>
      <c r="F422">
        <v>2017</v>
      </c>
      <c r="G422" t="s">
        <v>315</v>
      </c>
      <c r="H422" t="s">
        <v>24</v>
      </c>
      <c r="I422" t="s">
        <v>85</v>
      </c>
      <c r="J422">
        <v>15.7</v>
      </c>
      <c r="K422">
        <v>33608</v>
      </c>
      <c r="L422" t="s">
        <v>101</v>
      </c>
      <c r="M422" t="s">
        <v>37</v>
      </c>
      <c r="N422" t="s">
        <v>55</v>
      </c>
      <c r="O422" t="s">
        <v>29</v>
      </c>
      <c r="P422" t="s">
        <v>47</v>
      </c>
      <c r="Q422">
        <v>4.3</v>
      </c>
      <c r="R422">
        <v>9</v>
      </c>
    </row>
    <row r="423" spans="1:18" x14ac:dyDescent="0.3">
      <c r="A423" t="s">
        <v>1088</v>
      </c>
      <c r="B423" t="s">
        <v>58</v>
      </c>
      <c r="C423" t="s">
        <v>20</v>
      </c>
      <c r="D423" t="s">
        <v>82</v>
      </c>
      <c r="E423" t="s">
        <v>1089</v>
      </c>
      <c r="F423">
        <v>2014</v>
      </c>
      <c r="G423" t="s">
        <v>900</v>
      </c>
      <c r="H423" t="s">
        <v>35</v>
      </c>
      <c r="I423" t="s">
        <v>25</v>
      </c>
      <c r="J423">
        <v>10.5</v>
      </c>
      <c r="K423">
        <v>36637</v>
      </c>
      <c r="L423" t="s">
        <v>45</v>
      </c>
      <c r="M423" t="s">
        <v>80</v>
      </c>
      <c r="N423" t="s">
        <v>62</v>
      </c>
      <c r="O423" t="s">
        <v>29</v>
      </c>
      <c r="P423" t="s">
        <v>47</v>
      </c>
      <c r="Q423">
        <v>4.8</v>
      </c>
      <c r="R423">
        <v>12</v>
      </c>
    </row>
    <row r="424" spans="1:18" x14ac:dyDescent="0.3">
      <c r="A424" t="s">
        <v>1090</v>
      </c>
      <c r="B424" t="s">
        <v>49</v>
      </c>
      <c r="C424" t="s">
        <v>32</v>
      </c>
      <c r="D424" t="s">
        <v>82</v>
      </c>
      <c r="E424" t="s">
        <v>1091</v>
      </c>
      <c r="F424">
        <v>2014</v>
      </c>
      <c r="G424" t="s">
        <v>490</v>
      </c>
      <c r="H424" t="s">
        <v>96</v>
      </c>
      <c r="I424" t="s">
        <v>44</v>
      </c>
      <c r="J424">
        <v>10.3</v>
      </c>
      <c r="K424">
        <v>35324</v>
      </c>
      <c r="L424" t="s">
        <v>101</v>
      </c>
      <c r="M424" t="s">
        <v>80</v>
      </c>
      <c r="N424" t="s">
        <v>28</v>
      </c>
      <c r="O424" t="s">
        <v>118</v>
      </c>
      <c r="P424" t="s">
        <v>47</v>
      </c>
      <c r="Q424">
        <v>4.3</v>
      </c>
      <c r="R424">
        <v>12</v>
      </c>
    </row>
    <row r="425" spans="1:18" x14ac:dyDescent="0.3">
      <c r="A425" t="s">
        <v>1092</v>
      </c>
      <c r="B425" t="s">
        <v>70</v>
      </c>
      <c r="C425" t="s">
        <v>76</v>
      </c>
      <c r="D425" t="s">
        <v>21</v>
      </c>
      <c r="E425" t="s">
        <v>1093</v>
      </c>
      <c r="F425">
        <v>2018</v>
      </c>
      <c r="G425" t="s">
        <v>627</v>
      </c>
      <c r="H425" t="s">
        <v>24</v>
      </c>
      <c r="I425" t="s">
        <v>100</v>
      </c>
      <c r="J425">
        <v>16.600000000000001</v>
      </c>
      <c r="K425">
        <v>35380</v>
      </c>
      <c r="L425" t="s">
        <v>73</v>
      </c>
      <c r="M425" t="s">
        <v>27</v>
      </c>
      <c r="N425" t="s">
        <v>62</v>
      </c>
      <c r="O425" t="s">
        <v>118</v>
      </c>
      <c r="P425" t="s">
        <v>30</v>
      </c>
      <c r="Q425">
        <v>7.4</v>
      </c>
      <c r="R425">
        <v>8</v>
      </c>
    </row>
    <row r="426" spans="1:18" x14ac:dyDescent="0.3">
      <c r="A426" t="s">
        <v>1094</v>
      </c>
      <c r="B426" t="s">
        <v>49</v>
      </c>
      <c r="C426" t="s">
        <v>32</v>
      </c>
      <c r="D426" t="s">
        <v>21</v>
      </c>
      <c r="E426" t="s">
        <v>1095</v>
      </c>
      <c r="F426">
        <v>2015</v>
      </c>
      <c r="G426" t="s">
        <v>792</v>
      </c>
      <c r="H426" t="s">
        <v>24</v>
      </c>
      <c r="I426" t="s">
        <v>53</v>
      </c>
      <c r="J426">
        <v>8.4</v>
      </c>
      <c r="K426">
        <v>13222</v>
      </c>
      <c r="L426" t="s">
        <v>36</v>
      </c>
      <c r="M426" t="s">
        <v>54</v>
      </c>
      <c r="N426" t="s">
        <v>55</v>
      </c>
      <c r="O426" t="s">
        <v>29</v>
      </c>
      <c r="P426" t="s">
        <v>86</v>
      </c>
      <c r="Q426">
        <v>3.6</v>
      </c>
      <c r="R426">
        <v>11</v>
      </c>
    </row>
    <row r="427" spans="1:18" x14ac:dyDescent="0.3">
      <c r="A427" t="s">
        <v>1096</v>
      </c>
      <c r="B427" t="s">
        <v>40</v>
      </c>
      <c r="C427" t="s">
        <v>112</v>
      </c>
      <c r="D427" t="s">
        <v>41</v>
      </c>
      <c r="E427" t="s">
        <v>1097</v>
      </c>
      <c r="F427">
        <v>2024</v>
      </c>
      <c r="G427" t="s">
        <v>1098</v>
      </c>
      <c r="H427" t="s">
        <v>24</v>
      </c>
      <c r="I427" t="s">
        <v>85</v>
      </c>
      <c r="J427">
        <v>11.6</v>
      </c>
      <c r="K427">
        <v>7090</v>
      </c>
      <c r="L427" t="s">
        <v>45</v>
      </c>
      <c r="M427" t="s">
        <v>27</v>
      </c>
      <c r="N427" t="s">
        <v>62</v>
      </c>
      <c r="O427" t="s">
        <v>46</v>
      </c>
      <c r="P427" t="s">
        <v>74</v>
      </c>
      <c r="Q427">
        <v>9.5</v>
      </c>
      <c r="R427">
        <v>2</v>
      </c>
    </row>
    <row r="428" spans="1:18" x14ac:dyDescent="0.3">
      <c r="A428" t="s">
        <v>1099</v>
      </c>
      <c r="B428" t="s">
        <v>58</v>
      </c>
      <c r="C428" t="s">
        <v>112</v>
      </c>
      <c r="D428" t="s">
        <v>50</v>
      </c>
      <c r="E428" t="s">
        <v>1100</v>
      </c>
      <c r="F428">
        <v>2020</v>
      </c>
      <c r="G428" t="s">
        <v>177</v>
      </c>
      <c r="H428" t="s">
        <v>24</v>
      </c>
      <c r="I428" t="s">
        <v>53</v>
      </c>
      <c r="J428">
        <v>10.4</v>
      </c>
      <c r="K428">
        <v>44722</v>
      </c>
      <c r="L428" t="s">
        <v>73</v>
      </c>
      <c r="M428" t="s">
        <v>54</v>
      </c>
      <c r="N428" t="s">
        <v>28</v>
      </c>
      <c r="O428" t="s">
        <v>29</v>
      </c>
      <c r="P428" t="s">
        <v>38</v>
      </c>
      <c r="Q428">
        <v>1</v>
      </c>
      <c r="R428">
        <v>6</v>
      </c>
    </row>
    <row r="429" spans="1:18" x14ac:dyDescent="0.3">
      <c r="A429" t="s">
        <v>1101</v>
      </c>
      <c r="B429" t="s">
        <v>58</v>
      </c>
      <c r="C429" t="s">
        <v>20</v>
      </c>
      <c r="D429" t="s">
        <v>65</v>
      </c>
      <c r="E429" t="s">
        <v>1102</v>
      </c>
      <c r="F429">
        <v>2018</v>
      </c>
      <c r="G429" t="s">
        <v>410</v>
      </c>
      <c r="H429" t="s">
        <v>24</v>
      </c>
      <c r="I429" t="s">
        <v>61</v>
      </c>
      <c r="J429">
        <v>17.3</v>
      </c>
      <c r="K429">
        <v>1731</v>
      </c>
      <c r="L429" t="s">
        <v>45</v>
      </c>
      <c r="M429" t="s">
        <v>37</v>
      </c>
      <c r="N429" t="s">
        <v>28</v>
      </c>
      <c r="O429" t="s">
        <v>118</v>
      </c>
      <c r="P429" t="s">
        <v>47</v>
      </c>
      <c r="Q429">
        <v>8.6</v>
      </c>
      <c r="R429">
        <v>8</v>
      </c>
    </row>
    <row r="430" spans="1:18" x14ac:dyDescent="0.3">
      <c r="A430" t="s">
        <v>1103</v>
      </c>
      <c r="B430" t="s">
        <v>19</v>
      </c>
      <c r="C430" t="s">
        <v>32</v>
      </c>
      <c r="D430" t="s">
        <v>82</v>
      </c>
      <c r="E430" t="s">
        <v>1104</v>
      </c>
      <c r="F430">
        <v>2022</v>
      </c>
      <c r="G430" t="s">
        <v>110</v>
      </c>
      <c r="H430" t="s">
        <v>24</v>
      </c>
      <c r="I430" t="s">
        <v>100</v>
      </c>
      <c r="J430">
        <v>12</v>
      </c>
      <c r="K430">
        <v>31236</v>
      </c>
      <c r="L430" t="s">
        <v>36</v>
      </c>
      <c r="M430" t="s">
        <v>27</v>
      </c>
      <c r="N430" t="s">
        <v>28</v>
      </c>
      <c r="O430" t="s">
        <v>46</v>
      </c>
      <c r="P430" t="s">
        <v>74</v>
      </c>
      <c r="Q430">
        <v>0.6</v>
      </c>
      <c r="R430">
        <v>4</v>
      </c>
    </row>
    <row r="431" spans="1:18" x14ac:dyDescent="0.3">
      <c r="A431" t="s">
        <v>1105</v>
      </c>
      <c r="B431" t="s">
        <v>49</v>
      </c>
      <c r="C431" t="s">
        <v>32</v>
      </c>
      <c r="D431" t="s">
        <v>50</v>
      </c>
      <c r="E431" t="s">
        <v>1106</v>
      </c>
      <c r="F431">
        <v>2022</v>
      </c>
      <c r="G431" t="s">
        <v>60</v>
      </c>
      <c r="H431" t="s">
        <v>35</v>
      </c>
      <c r="I431" t="s">
        <v>44</v>
      </c>
      <c r="J431">
        <v>3.7</v>
      </c>
      <c r="K431">
        <v>5108</v>
      </c>
      <c r="L431" t="s">
        <v>101</v>
      </c>
      <c r="M431" t="s">
        <v>37</v>
      </c>
      <c r="N431" t="s">
        <v>28</v>
      </c>
      <c r="O431" t="s">
        <v>29</v>
      </c>
      <c r="P431" t="s">
        <v>30</v>
      </c>
      <c r="Q431">
        <v>6.8</v>
      </c>
      <c r="R431">
        <v>4</v>
      </c>
    </row>
    <row r="432" spans="1:18" x14ac:dyDescent="0.3">
      <c r="A432" t="s">
        <v>1107</v>
      </c>
      <c r="B432" t="s">
        <v>70</v>
      </c>
      <c r="C432" t="s">
        <v>112</v>
      </c>
      <c r="D432" t="s">
        <v>41</v>
      </c>
      <c r="E432" t="s">
        <v>1108</v>
      </c>
      <c r="F432">
        <v>2023</v>
      </c>
      <c r="G432" t="s">
        <v>186</v>
      </c>
      <c r="H432" t="s">
        <v>24</v>
      </c>
      <c r="I432" t="s">
        <v>61</v>
      </c>
      <c r="J432">
        <v>3.3</v>
      </c>
      <c r="K432">
        <v>20137</v>
      </c>
      <c r="L432" t="s">
        <v>45</v>
      </c>
      <c r="M432" t="s">
        <v>54</v>
      </c>
      <c r="N432" t="s">
        <v>55</v>
      </c>
      <c r="O432" t="s">
        <v>46</v>
      </c>
      <c r="P432" t="s">
        <v>74</v>
      </c>
      <c r="Q432">
        <v>3.9</v>
      </c>
      <c r="R432">
        <v>3</v>
      </c>
    </row>
    <row r="433" spans="1:18" x14ac:dyDescent="0.3">
      <c r="A433" t="s">
        <v>1109</v>
      </c>
      <c r="B433" t="s">
        <v>70</v>
      </c>
      <c r="C433" t="s">
        <v>20</v>
      </c>
      <c r="D433" t="s">
        <v>77</v>
      </c>
      <c r="E433" t="s">
        <v>1110</v>
      </c>
      <c r="F433">
        <v>2014</v>
      </c>
      <c r="G433" t="s">
        <v>247</v>
      </c>
      <c r="H433" t="s">
        <v>96</v>
      </c>
      <c r="I433" t="s">
        <v>44</v>
      </c>
      <c r="J433">
        <v>13.8</v>
      </c>
      <c r="K433">
        <v>37575</v>
      </c>
      <c r="L433" t="s">
        <v>26</v>
      </c>
      <c r="M433" t="s">
        <v>37</v>
      </c>
      <c r="N433" t="s">
        <v>55</v>
      </c>
      <c r="O433" t="s">
        <v>29</v>
      </c>
      <c r="P433" t="s">
        <v>30</v>
      </c>
      <c r="Q433">
        <v>7.1</v>
      </c>
      <c r="R433">
        <v>12</v>
      </c>
    </row>
    <row r="434" spans="1:18" x14ac:dyDescent="0.3">
      <c r="A434" t="s">
        <v>1111</v>
      </c>
      <c r="B434" t="s">
        <v>49</v>
      </c>
      <c r="C434" t="s">
        <v>76</v>
      </c>
      <c r="D434" t="s">
        <v>93</v>
      </c>
      <c r="E434" t="s">
        <v>1112</v>
      </c>
      <c r="F434">
        <v>2018</v>
      </c>
      <c r="G434" t="s">
        <v>269</v>
      </c>
      <c r="H434" t="s">
        <v>24</v>
      </c>
      <c r="I434" t="s">
        <v>61</v>
      </c>
      <c r="J434">
        <v>11.2</v>
      </c>
      <c r="K434">
        <v>8663</v>
      </c>
      <c r="L434" t="s">
        <v>45</v>
      </c>
      <c r="M434" t="s">
        <v>80</v>
      </c>
      <c r="N434" t="s">
        <v>55</v>
      </c>
      <c r="O434" t="s">
        <v>46</v>
      </c>
      <c r="P434" t="s">
        <v>38</v>
      </c>
      <c r="Q434">
        <v>6.2</v>
      </c>
      <c r="R434">
        <v>8</v>
      </c>
    </row>
    <row r="435" spans="1:18" x14ac:dyDescent="0.3">
      <c r="A435" t="s">
        <v>1113</v>
      </c>
      <c r="B435" t="s">
        <v>58</v>
      </c>
      <c r="C435" t="s">
        <v>32</v>
      </c>
      <c r="D435" t="s">
        <v>50</v>
      </c>
      <c r="E435" t="s">
        <v>1114</v>
      </c>
      <c r="F435">
        <v>2025</v>
      </c>
      <c r="G435" t="s">
        <v>430</v>
      </c>
      <c r="H435" t="s">
        <v>24</v>
      </c>
      <c r="I435" t="s">
        <v>100</v>
      </c>
      <c r="J435">
        <v>10.6</v>
      </c>
      <c r="K435">
        <v>42344</v>
      </c>
      <c r="L435" t="s">
        <v>68</v>
      </c>
      <c r="M435" t="s">
        <v>54</v>
      </c>
      <c r="N435" t="s">
        <v>62</v>
      </c>
      <c r="O435" t="s">
        <v>46</v>
      </c>
      <c r="P435" t="s">
        <v>47</v>
      </c>
      <c r="Q435">
        <v>5.4</v>
      </c>
      <c r="R435">
        <v>1</v>
      </c>
    </row>
    <row r="436" spans="1:18" x14ac:dyDescent="0.3">
      <c r="A436" t="s">
        <v>1115</v>
      </c>
      <c r="B436" t="s">
        <v>58</v>
      </c>
      <c r="C436" t="s">
        <v>64</v>
      </c>
      <c r="D436" t="s">
        <v>93</v>
      </c>
      <c r="E436" t="s">
        <v>1116</v>
      </c>
      <c r="F436">
        <v>2024</v>
      </c>
      <c r="G436" t="s">
        <v>259</v>
      </c>
      <c r="H436" t="s">
        <v>24</v>
      </c>
      <c r="I436" t="s">
        <v>53</v>
      </c>
      <c r="J436">
        <v>17.600000000000001</v>
      </c>
      <c r="K436">
        <v>1603</v>
      </c>
      <c r="L436" t="s">
        <v>26</v>
      </c>
      <c r="M436" t="s">
        <v>80</v>
      </c>
      <c r="N436" t="s">
        <v>55</v>
      </c>
      <c r="O436" t="s">
        <v>46</v>
      </c>
      <c r="P436" t="s">
        <v>30</v>
      </c>
      <c r="Q436">
        <v>7.5</v>
      </c>
      <c r="R436">
        <v>2</v>
      </c>
    </row>
    <row r="437" spans="1:18" x14ac:dyDescent="0.3">
      <c r="A437" t="s">
        <v>1117</v>
      </c>
      <c r="B437" t="s">
        <v>49</v>
      </c>
      <c r="C437" t="s">
        <v>76</v>
      </c>
      <c r="D437" t="s">
        <v>82</v>
      </c>
      <c r="E437" t="s">
        <v>1118</v>
      </c>
      <c r="F437">
        <v>2017</v>
      </c>
      <c r="G437" t="s">
        <v>413</v>
      </c>
      <c r="H437" t="s">
        <v>24</v>
      </c>
      <c r="I437" t="s">
        <v>53</v>
      </c>
      <c r="J437">
        <v>10.3</v>
      </c>
      <c r="K437">
        <v>43279</v>
      </c>
      <c r="L437" t="s">
        <v>73</v>
      </c>
      <c r="M437" t="s">
        <v>80</v>
      </c>
      <c r="N437" t="s">
        <v>62</v>
      </c>
      <c r="O437" t="s">
        <v>29</v>
      </c>
      <c r="P437" t="s">
        <v>38</v>
      </c>
      <c r="Q437">
        <v>3.2</v>
      </c>
      <c r="R437">
        <v>9</v>
      </c>
    </row>
    <row r="438" spans="1:18" x14ac:dyDescent="0.3">
      <c r="A438" t="s">
        <v>1119</v>
      </c>
      <c r="B438" t="s">
        <v>70</v>
      </c>
      <c r="C438" t="s">
        <v>32</v>
      </c>
      <c r="D438" t="s">
        <v>93</v>
      </c>
      <c r="E438" t="s">
        <v>1120</v>
      </c>
      <c r="F438">
        <v>2015</v>
      </c>
      <c r="G438" t="s">
        <v>546</v>
      </c>
      <c r="H438" t="s">
        <v>24</v>
      </c>
      <c r="I438" t="s">
        <v>44</v>
      </c>
      <c r="J438">
        <v>2.5</v>
      </c>
      <c r="K438">
        <v>23342</v>
      </c>
      <c r="L438" t="s">
        <v>68</v>
      </c>
      <c r="M438" t="s">
        <v>27</v>
      </c>
      <c r="N438" t="s">
        <v>62</v>
      </c>
      <c r="O438" t="s">
        <v>46</v>
      </c>
      <c r="P438" t="s">
        <v>74</v>
      </c>
      <c r="Q438">
        <v>9.6</v>
      </c>
      <c r="R438">
        <v>11</v>
      </c>
    </row>
    <row r="439" spans="1:18" x14ac:dyDescent="0.3">
      <c r="A439" t="s">
        <v>1121</v>
      </c>
      <c r="B439" t="s">
        <v>70</v>
      </c>
      <c r="C439" t="s">
        <v>20</v>
      </c>
      <c r="D439" t="s">
        <v>65</v>
      </c>
      <c r="E439" t="s">
        <v>1122</v>
      </c>
      <c r="F439">
        <v>2016</v>
      </c>
      <c r="G439" t="s">
        <v>560</v>
      </c>
      <c r="H439" t="s">
        <v>24</v>
      </c>
      <c r="I439" t="s">
        <v>85</v>
      </c>
      <c r="J439">
        <v>14.5</v>
      </c>
      <c r="K439">
        <v>43813</v>
      </c>
      <c r="L439" t="s">
        <v>73</v>
      </c>
      <c r="M439" t="s">
        <v>27</v>
      </c>
      <c r="N439" t="s">
        <v>28</v>
      </c>
      <c r="O439" t="s">
        <v>46</v>
      </c>
      <c r="P439" t="s">
        <v>47</v>
      </c>
      <c r="Q439">
        <v>9</v>
      </c>
      <c r="R439">
        <v>10</v>
      </c>
    </row>
    <row r="440" spans="1:18" x14ac:dyDescent="0.3">
      <c r="A440" t="s">
        <v>1123</v>
      </c>
      <c r="B440" t="s">
        <v>58</v>
      </c>
      <c r="C440" t="s">
        <v>76</v>
      </c>
      <c r="D440" t="s">
        <v>65</v>
      </c>
      <c r="E440" t="s">
        <v>1124</v>
      </c>
      <c r="F440">
        <v>2022</v>
      </c>
      <c r="G440" t="s">
        <v>734</v>
      </c>
      <c r="H440" t="s">
        <v>24</v>
      </c>
      <c r="I440" t="s">
        <v>100</v>
      </c>
      <c r="J440">
        <v>5.7</v>
      </c>
      <c r="K440">
        <v>22176</v>
      </c>
      <c r="L440" t="s">
        <v>45</v>
      </c>
      <c r="M440" t="s">
        <v>80</v>
      </c>
      <c r="N440" t="s">
        <v>28</v>
      </c>
      <c r="O440" t="s">
        <v>46</v>
      </c>
      <c r="P440" t="s">
        <v>38</v>
      </c>
      <c r="Q440">
        <v>3.7</v>
      </c>
      <c r="R440">
        <v>4</v>
      </c>
    </row>
    <row r="441" spans="1:18" x14ac:dyDescent="0.3">
      <c r="A441" t="s">
        <v>1125</v>
      </c>
      <c r="B441" t="s">
        <v>40</v>
      </c>
      <c r="C441" t="s">
        <v>20</v>
      </c>
      <c r="D441" t="s">
        <v>50</v>
      </c>
      <c r="E441" t="s">
        <v>1126</v>
      </c>
      <c r="F441">
        <v>2019</v>
      </c>
      <c r="G441" t="s">
        <v>909</v>
      </c>
      <c r="H441" t="s">
        <v>24</v>
      </c>
      <c r="I441" t="s">
        <v>85</v>
      </c>
      <c r="J441">
        <v>11.5</v>
      </c>
      <c r="K441">
        <v>12376</v>
      </c>
      <c r="L441" t="s">
        <v>45</v>
      </c>
      <c r="M441" t="s">
        <v>27</v>
      </c>
      <c r="N441" t="s">
        <v>28</v>
      </c>
      <c r="O441" t="s">
        <v>46</v>
      </c>
      <c r="P441" t="s">
        <v>30</v>
      </c>
      <c r="Q441">
        <v>8.6999999999999993</v>
      </c>
      <c r="R441">
        <v>7</v>
      </c>
    </row>
    <row r="442" spans="1:18" x14ac:dyDescent="0.3">
      <c r="A442" t="s">
        <v>1127</v>
      </c>
      <c r="B442" t="s">
        <v>70</v>
      </c>
      <c r="C442" t="s">
        <v>112</v>
      </c>
      <c r="D442" t="s">
        <v>77</v>
      </c>
      <c r="E442" t="s">
        <v>1128</v>
      </c>
      <c r="F442">
        <v>2018</v>
      </c>
      <c r="G442" t="s">
        <v>635</v>
      </c>
      <c r="H442" t="s">
        <v>24</v>
      </c>
      <c r="I442" t="s">
        <v>85</v>
      </c>
      <c r="J442">
        <v>15.8</v>
      </c>
      <c r="K442">
        <v>25852</v>
      </c>
      <c r="L442" t="s">
        <v>36</v>
      </c>
      <c r="M442" t="s">
        <v>37</v>
      </c>
      <c r="N442" t="s">
        <v>28</v>
      </c>
      <c r="O442" t="s">
        <v>46</v>
      </c>
      <c r="P442" t="s">
        <v>86</v>
      </c>
      <c r="Q442">
        <v>2.2000000000000002</v>
      </c>
      <c r="R442">
        <v>8</v>
      </c>
    </row>
    <row r="443" spans="1:18" x14ac:dyDescent="0.3">
      <c r="A443" t="s">
        <v>1129</v>
      </c>
      <c r="B443" t="s">
        <v>19</v>
      </c>
      <c r="C443" t="s">
        <v>64</v>
      </c>
      <c r="D443" t="s">
        <v>41</v>
      </c>
      <c r="E443" t="s">
        <v>1130</v>
      </c>
      <c r="F443">
        <v>2019</v>
      </c>
      <c r="G443" t="s">
        <v>148</v>
      </c>
      <c r="H443" t="s">
        <v>24</v>
      </c>
      <c r="I443" t="s">
        <v>44</v>
      </c>
      <c r="J443">
        <v>14.5</v>
      </c>
      <c r="K443">
        <v>34271</v>
      </c>
      <c r="L443" t="s">
        <v>73</v>
      </c>
      <c r="M443" t="s">
        <v>54</v>
      </c>
      <c r="N443" t="s">
        <v>55</v>
      </c>
      <c r="O443" t="s">
        <v>118</v>
      </c>
      <c r="P443" t="s">
        <v>38</v>
      </c>
      <c r="Q443">
        <v>8.8000000000000007</v>
      </c>
      <c r="R443">
        <v>7</v>
      </c>
    </row>
    <row r="444" spans="1:18" x14ac:dyDescent="0.3">
      <c r="A444" t="s">
        <v>1131</v>
      </c>
      <c r="B444" t="s">
        <v>70</v>
      </c>
      <c r="C444" t="s">
        <v>64</v>
      </c>
      <c r="D444" t="s">
        <v>50</v>
      </c>
      <c r="E444" t="s">
        <v>1132</v>
      </c>
      <c r="F444">
        <v>2018</v>
      </c>
      <c r="G444" t="s">
        <v>627</v>
      </c>
      <c r="H444" t="s">
        <v>96</v>
      </c>
      <c r="I444" t="s">
        <v>100</v>
      </c>
      <c r="J444">
        <v>12.3</v>
      </c>
      <c r="K444">
        <v>10197</v>
      </c>
      <c r="L444" t="s">
        <v>73</v>
      </c>
      <c r="M444" t="s">
        <v>80</v>
      </c>
      <c r="N444" t="s">
        <v>55</v>
      </c>
      <c r="O444" t="s">
        <v>118</v>
      </c>
      <c r="P444" t="s">
        <v>38</v>
      </c>
      <c r="Q444">
        <v>8.6999999999999993</v>
      </c>
      <c r="R444">
        <v>8</v>
      </c>
    </row>
    <row r="445" spans="1:18" x14ac:dyDescent="0.3">
      <c r="A445" t="s">
        <v>1133</v>
      </c>
      <c r="B445" t="s">
        <v>70</v>
      </c>
      <c r="C445" t="s">
        <v>112</v>
      </c>
      <c r="D445" t="s">
        <v>65</v>
      </c>
      <c r="E445" t="s">
        <v>1134</v>
      </c>
      <c r="F445">
        <v>2015</v>
      </c>
      <c r="G445" t="s">
        <v>1135</v>
      </c>
      <c r="H445" t="s">
        <v>35</v>
      </c>
      <c r="I445" t="s">
        <v>44</v>
      </c>
      <c r="J445">
        <v>6.3</v>
      </c>
      <c r="K445">
        <v>4523</v>
      </c>
      <c r="L445" t="s">
        <v>26</v>
      </c>
      <c r="M445" t="s">
        <v>37</v>
      </c>
      <c r="N445" t="s">
        <v>28</v>
      </c>
      <c r="O445" t="s">
        <v>46</v>
      </c>
      <c r="P445" t="s">
        <v>86</v>
      </c>
      <c r="Q445">
        <v>6.6</v>
      </c>
      <c r="R445">
        <v>11</v>
      </c>
    </row>
    <row r="446" spans="1:18" x14ac:dyDescent="0.3">
      <c r="A446" t="s">
        <v>1136</v>
      </c>
      <c r="B446" t="s">
        <v>40</v>
      </c>
      <c r="C446" t="s">
        <v>64</v>
      </c>
      <c r="D446" t="s">
        <v>77</v>
      </c>
      <c r="E446" t="s">
        <v>1137</v>
      </c>
      <c r="F446">
        <v>2017</v>
      </c>
      <c r="G446" t="s">
        <v>321</v>
      </c>
      <c r="H446" t="s">
        <v>24</v>
      </c>
      <c r="I446" t="s">
        <v>53</v>
      </c>
      <c r="J446">
        <v>14</v>
      </c>
      <c r="K446">
        <v>9210</v>
      </c>
      <c r="L446" t="s">
        <v>68</v>
      </c>
      <c r="M446" t="s">
        <v>54</v>
      </c>
      <c r="N446" t="s">
        <v>28</v>
      </c>
      <c r="O446" t="s">
        <v>118</v>
      </c>
      <c r="P446" t="s">
        <v>30</v>
      </c>
      <c r="Q446">
        <v>0.6</v>
      </c>
      <c r="R446">
        <v>9</v>
      </c>
    </row>
    <row r="447" spans="1:18" x14ac:dyDescent="0.3">
      <c r="A447" t="s">
        <v>1138</v>
      </c>
      <c r="B447" t="s">
        <v>49</v>
      </c>
      <c r="C447" t="s">
        <v>112</v>
      </c>
      <c r="D447" t="s">
        <v>21</v>
      </c>
      <c r="E447" t="s">
        <v>1139</v>
      </c>
      <c r="F447">
        <v>2023</v>
      </c>
      <c r="G447" t="s">
        <v>622</v>
      </c>
      <c r="H447" t="s">
        <v>35</v>
      </c>
      <c r="I447" t="s">
        <v>100</v>
      </c>
      <c r="J447">
        <v>6.1</v>
      </c>
      <c r="K447">
        <v>10777</v>
      </c>
      <c r="L447" t="s">
        <v>101</v>
      </c>
      <c r="M447" t="s">
        <v>37</v>
      </c>
      <c r="N447" t="s">
        <v>62</v>
      </c>
      <c r="O447" t="s">
        <v>29</v>
      </c>
      <c r="P447" t="s">
        <v>56</v>
      </c>
      <c r="Q447">
        <v>1.2</v>
      </c>
      <c r="R447">
        <v>3</v>
      </c>
    </row>
    <row r="448" spans="1:18" x14ac:dyDescent="0.3">
      <c r="A448" t="s">
        <v>1140</v>
      </c>
      <c r="B448" t="s">
        <v>49</v>
      </c>
      <c r="C448" t="s">
        <v>76</v>
      </c>
      <c r="D448" t="s">
        <v>41</v>
      </c>
      <c r="E448" t="s">
        <v>1141</v>
      </c>
      <c r="F448">
        <v>2023</v>
      </c>
      <c r="G448" t="s">
        <v>1142</v>
      </c>
      <c r="H448" t="s">
        <v>24</v>
      </c>
      <c r="I448" t="s">
        <v>85</v>
      </c>
      <c r="J448">
        <v>16.3</v>
      </c>
      <c r="K448">
        <v>4806</v>
      </c>
      <c r="L448" t="s">
        <v>26</v>
      </c>
      <c r="M448" t="s">
        <v>27</v>
      </c>
      <c r="N448" t="s">
        <v>28</v>
      </c>
      <c r="O448" t="s">
        <v>29</v>
      </c>
      <c r="P448" t="s">
        <v>47</v>
      </c>
      <c r="Q448">
        <v>4.2</v>
      </c>
      <c r="R448">
        <v>3</v>
      </c>
    </row>
    <row r="449" spans="1:18" x14ac:dyDescent="0.3">
      <c r="A449" t="s">
        <v>1143</v>
      </c>
      <c r="B449" t="s">
        <v>49</v>
      </c>
      <c r="C449" t="s">
        <v>76</v>
      </c>
      <c r="D449" t="s">
        <v>93</v>
      </c>
      <c r="E449" t="s">
        <v>1144</v>
      </c>
      <c r="F449">
        <v>2025</v>
      </c>
      <c r="G449" t="s">
        <v>84</v>
      </c>
      <c r="H449" t="s">
        <v>24</v>
      </c>
      <c r="I449" t="s">
        <v>53</v>
      </c>
      <c r="J449">
        <v>14.8</v>
      </c>
      <c r="K449">
        <v>36462</v>
      </c>
      <c r="L449" t="s">
        <v>26</v>
      </c>
      <c r="M449" t="s">
        <v>27</v>
      </c>
      <c r="N449" t="s">
        <v>62</v>
      </c>
      <c r="O449" t="s">
        <v>29</v>
      </c>
      <c r="P449" t="s">
        <v>30</v>
      </c>
      <c r="Q449">
        <v>8.1999999999999993</v>
      </c>
      <c r="R449">
        <v>1</v>
      </c>
    </row>
    <row r="450" spans="1:18" x14ac:dyDescent="0.3">
      <c r="A450" t="s">
        <v>1145</v>
      </c>
      <c r="B450" t="s">
        <v>19</v>
      </c>
      <c r="C450" t="s">
        <v>76</v>
      </c>
      <c r="D450" t="s">
        <v>77</v>
      </c>
      <c r="E450" t="s">
        <v>1146</v>
      </c>
      <c r="F450">
        <v>2025</v>
      </c>
      <c r="G450" t="s">
        <v>783</v>
      </c>
      <c r="H450" t="s">
        <v>35</v>
      </c>
      <c r="I450" t="s">
        <v>25</v>
      </c>
      <c r="J450">
        <v>13.9</v>
      </c>
      <c r="K450">
        <v>32337</v>
      </c>
      <c r="L450" t="s">
        <v>73</v>
      </c>
      <c r="M450" t="s">
        <v>54</v>
      </c>
      <c r="N450" t="s">
        <v>28</v>
      </c>
      <c r="O450" t="s">
        <v>46</v>
      </c>
      <c r="P450" t="s">
        <v>86</v>
      </c>
      <c r="Q450">
        <v>9.1999999999999993</v>
      </c>
      <c r="R450">
        <v>1</v>
      </c>
    </row>
    <row r="451" spans="1:18" x14ac:dyDescent="0.3">
      <c r="A451" t="s">
        <v>1147</v>
      </c>
      <c r="B451" t="s">
        <v>70</v>
      </c>
      <c r="C451" t="s">
        <v>20</v>
      </c>
      <c r="D451" t="s">
        <v>82</v>
      </c>
      <c r="E451" t="s">
        <v>1148</v>
      </c>
      <c r="F451">
        <v>2020</v>
      </c>
      <c r="G451" t="s">
        <v>792</v>
      </c>
      <c r="H451" t="s">
        <v>24</v>
      </c>
      <c r="I451" t="s">
        <v>44</v>
      </c>
      <c r="J451">
        <v>8.8000000000000007</v>
      </c>
      <c r="K451">
        <v>24532</v>
      </c>
      <c r="L451" t="s">
        <v>36</v>
      </c>
      <c r="M451" t="s">
        <v>27</v>
      </c>
      <c r="N451" t="s">
        <v>28</v>
      </c>
      <c r="O451" t="s">
        <v>118</v>
      </c>
      <c r="P451" t="s">
        <v>86</v>
      </c>
      <c r="Q451">
        <v>6.2</v>
      </c>
      <c r="R451">
        <v>6</v>
      </c>
    </row>
    <row r="452" spans="1:18" x14ac:dyDescent="0.3">
      <c r="A452" t="s">
        <v>1149</v>
      </c>
      <c r="B452" t="s">
        <v>19</v>
      </c>
      <c r="C452" t="s">
        <v>76</v>
      </c>
      <c r="D452" t="s">
        <v>50</v>
      </c>
      <c r="E452" t="s">
        <v>1150</v>
      </c>
      <c r="F452">
        <v>2016</v>
      </c>
      <c r="G452" t="s">
        <v>1151</v>
      </c>
      <c r="H452" t="s">
        <v>35</v>
      </c>
      <c r="I452" t="s">
        <v>44</v>
      </c>
      <c r="J452">
        <v>6.2</v>
      </c>
      <c r="K452">
        <v>44062</v>
      </c>
      <c r="L452" t="s">
        <v>26</v>
      </c>
      <c r="M452" t="s">
        <v>37</v>
      </c>
      <c r="N452" t="s">
        <v>62</v>
      </c>
      <c r="O452" t="s">
        <v>118</v>
      </c>
      <c r="P452" t="s">
        <v>47</v>
      </c>
      <c r="Q452">
        <v>6.1</v>
      </c>
      <c r="R452">
        <v>10</v>
      </c>
    </row>
    <row r="453" spans="1:18" x14ac:dyDescent="0.3">
      <c r="A453" t="s">
        <v>1152</v>
      </c>
      <c r="B453" t="s">
        <v>40</v>
      </c>
      <c r="C453" t="s">
        <v>32</v>
      </c>
      <c r="D453" t="s">
        <v>21</v>
      </c>
      <c r="E453" t="s">
        <v>1153</v>
      </c>
      <c r="F453">
        <v>2017</v>
      </c>
      <c r="G453" t="s">
        <v>1154</v>
      </c>
      <c r="H453" t="s">
        <v>96</v>
      </c>
      <c r="I453" t="s">
        <v>85</v>
      </c>
      <c r="J453">
        <v>1.7</v>
      </c>
      <c r="K453">
        <v>15147</v>
      </c>
      <c r="L453" t="s">
        <v>101</v>
      </c>
      <c r="M453" t="s">
        <v>27</v>
      </c>
      <c r="N453" t="s">
        <v>55</v>
      </c>
      <c r="O453" t="s">
        <v>46</v>
      </c>
      <c r="P453" t="s">
        <v>86</v>
      </c>
      <c r="Q453">
        <v>5.7</v>
      </c>
      <c r="R453">
        <v>9</v>
      </c>
    </row>
    <row r="454" spans="1:18" x14ac:dyDescent="0.3">
      <c r="A454" t="s">
        <v>1155</v>
      </c>
      <c r="B454" t="s">
        <v>19</v>
      </c>
      <c r="C454" t="s">
        <v>32</v>
      </c>
      <c r="D454" t="s">
        <v>50</v>
      </c>
      <c r="E454" t="s">
        <v>1156</v>
      </c>
      <c r="F454">
        <v>2017</v>
      </c>
      <c r="G454" t="s">
        <v>407</v>
      </c>
      <c r="H454" t="s">
        <v>24</v>
      </c>
      <c r="I454" t="s">
        <v>100</v>
      </c>
      <c r="J454">
        <v>10.9</v>
      </c>
      <c r="K454">
        <v>22823</v>
      </c>
      <c r="L454" t="s">
        <v>45</v>
      </c>
      <c r="M454" t="s">
        <v>80</v>
      </c>
      <c r="N454" t="s">
        <v>55</v>
      </c>
      <c r="O454" t="s">
        <v>29</v>
      </c>
      <c r="P454" t="s">
        <v>86</v>
      </c>
      <c r="Q454">
        <v>9.6</v>
      </c>
      <c r="R454">
        <v>9</v>
      </c>
    </row>
    <row r="455" spans="1:18" x14ac:dyDescent="0.3">
      <c r="A455" t="s">
        <v>1157</v>
      </c>
      <c r="B455" t="s">
        <v>19</v>
      </c>
      <c r="C455" t="s">
        <v>32</v>
      </c>
      <c r="D455" t="s">
        <v>50</v>
      </c>
      <c r="E455" t="s">
        <v>1158</v>
      </c>
      <c r="F455">
        <v>2015</v>
      </c>
      <c r="G455" t="s">
        <v>331</v>
      </c>
      <c r="H455" t="s">
        <v>35</v>
      </c>
      <c r="I455" t="s">
        <v>53</v>
      </c>
      <c r="J455">
        <v>9.1999999999999993</v>
      </c>
      <c r="K455">
        <v>44764</v>
      </c>
      <c r="L455" t="s">
        <v>26</v>
      </c>
      <c r="M455" t="s">
        <v>80</v>
      </c>
      <c r="N455" t="s">
        <v>28</v>
      </c>
      <c r="O455" t="s">
        <v>29</v>
      </c>
      <c r="P455" t="s">
        <v>74</v>
      </c>
      <c r="Q455">
        <v>9.1</v>
      </c>
      <c r="R455">
        <v>11</v>
      </c>
    </row>
    <row r="456" spans="1:18" x14ac:dyDescent="0.3">
      <c r="A456" t="s">
        <v>1159</v>
      </c>
      <c r="B456" t="s">
        <v>19</v>
      </c>
      <c r="C456" t="s">
        <v>64</v>
      </c>
      <c r="D456" t="s">
        <v>65</v>
      </c>
      <c r="E456" t="s">
        <v>1160</v>
      </c>
      <c r="F456">
        <v>2024</v>
      </c>
      <c r="G456" t="s">
        <v>1161</v>
      </c>
      <c r="H456" t="s">
        <v>24</v>
      </c>
      <c r="I456" t="s">
        <v>100</v>
      </c>
      <c r="J456">
        <v>5.6</v>
      </c>
      <c r="K456">
        <v>41842</v>
      </c>
      <c r="L456" t="s">
        <v>45</v>
      </c>
      <c r="M456" t="s">
        <v>27</v>
      </c>
      <c r="N456" t="s">
        <v>28</v>
      </c>
      <c r="O456" t="s">
        <v>29</v>
      </c>
      <c r="P456" t="s">
        <v>38</v>
      </c>
      <c r="Q456">
        <v>8.8000000000000007</v>
      </c>
      <c r="R456">
        <v>2</v>
      </c>
    </row>
    <row r="457" spans="1:18" x14ac:dyDescent="0.3">
      <c r="A457" t="s">
        <v>1162</v>
      </c>
      <c r="B457" t="s">
        <v>70</v>
      </c>
      <c r="C457" t="s">
        <v>76</v>
      </c>
      <c r="D457" t="s">
        <v>65</v>
      </c>
      <c r="E457" t="s">
        <v>1163</v>
      </c>
      <c r="F457">
        <v>2018</v>
      </c>
      <c r="G457" t="s">
        <v>678</v>
      </c>
      <c r="H457" t="s">
        <v>96</v>
      </c>
      <c r="I457" t="s">
        <v>53</v>
      </c>
      <c r="J457">
        <v>17.8</v>
      </c>
      <c r="K457">
        <v>39689</v>
      </c>
      <c r="L457" t="s">
        <v>26</v>
      </c>
      <c r="M457" t="s">
        <v>27</v>
      </c>
      <c r="N457" t="s">
        <v>28</v>
      </c>
      <c r="O457" t="s">
        <v>118</v>
      </c>
      <c r="P457" t="s">
        <v>30</v>
      </c>
      <c r="Q457">
        <v>4</v>
      </c>
      <c r="R457">
        <v>8</v>
      </c>
    </row>
    <row r="458" spans="1:18" x14ac:dyDescent="0.3">
      <c r="A458" t="s">
        <v>1164</v>
      </c>
      <c r="B458" t="s">
        <v>19</v>
      </c>
      <c r="C458" t="s">
        <v>32</v>
      </c>
      <c r="D458" t="s">
        <v>50</v>
      </c>
      <c r="E458" t="s">
        <v>1165</v>
      </c>
      <c r="F458">
        <v>2022</v>
      </c>
      <c r="G458" t="s">
        <v>475</v>
      </c>
      <c r="H458" t="s">
        <v>96</v>
      </c>
      <c r="I458" t="s">
        <v>44</v>
      </c>
      <c r="J458">
        <v>15.6</v>
      </c>
      <c r="K458">
        <v>3543</v>
      </c>
      <c r="L458" t="s">
        <v>73</v>
      </c>
      <c r="M458" t="s">
        <v>27</v>
      </c>
      <c r="N458" t="s">
        <v>62</v>
      </c>
      <c r="O458" t="s">
        <v>46</v>
      </c>
      <c r="P458" t="s">
        <v>47</v>
      </c>
      <c r="Q458">
        <v>6.4</v>
      </c>
      <c r="R458">
        <v>4</v>
      </c>
    </row>
    <row r="459" spans="1:18" x14ac:dyDescent="0.3">
      <c r="A459" t="s">
        <v>1166</v>
      </c>
      <c r="B459" t="s">
        <v>58</v>
      </c>
      <c r="C459" t="s">
        <v>76</v>
      </c>
      <c r="D459" t="s">
        <v>82</v>
      </c>
      <c r="E459" t="s">
        <v>1167</v>
      </c>
      <c r="F459">
        <v>2025</v>
      </c>
      <c r="G459" t="s">
        <v>1168</v>
      </c>
      <c r="H459" t="s">
        <v>35</v>
      </c>
      <c r="I459" t="s">
        <v>25</v>
      </c>
      <c r="J459">
        <v>3.5</v>
      </c>
      <c r="K459">
        <v>10614</v>
      </c>
      <c r="L459" t="s">
        <v>73</v>
      </c>
      <c r="M459" t="s">
        <v>27</v>
      </c>
      <c r="N459" t="s">
        <v>55</v>
      </c>
      <c r="O459" t="s">
        <v>118</v>
      </c>
      <c r="P459" t="s">
        <v>56</v>
      </c>
      <c r="Q459">
        <v>3.2</v>
      </c>
      <c r="R459">
        <v>1</v>
      </c>
    </row>
    <row r="460" spans="1:18" x14ac:dyDescent="0.3">
      <c r="A460" t="s">
        <v>1169</v>
      </c>
      <c r="B460" t="s">
        <v>40</v>
      </c>
      <c r="C460" t="s">
        <v>112</v>
      </c>
      <c r="D460" t="s">
        <v>41</v>
      </c>
      <c r="E460" t="s">
        <v>1170</v>
      </c>
      <c r="F460">
        <v>2024</v>
      </c>
      <c r="G460" t="s">
        <v>1171</v>
      </c>
      <c r="H460" t="s">
        <v>35</v>
      </c>
      <c r="I460" t="s">
        <v>61</v>
      </c>
      <c r="J460">
        <v>13.1</v>
      </c>
      <c r="K460">
        <v>33396</v>
      </c>
      <c r="L460" t="s">
        <v>101</v>
      </c>
      <c r="M460" t="s">
        <v>27</v>
      </c>
      <c r="N460" t="s">
        <v>28</v>
      </c>
      <c r="O460" t="s">
        <v>29</v>
      </c>
      <c r="P460" t="s">
        <v>56</v>
      </c>
      <c r="Q460">
        <v>6.6</v>
      </c>
      <c r="R460">
        <v>2</v>
      </c>
    </row>
    <row r="461" spans="1:18" x14ac:dyDescent="0.3">
      <c r="A461" t="s">
        <v>1172</v>
      </c>
      <c r="B461" t="s">
        <v>49</v>
      </c>
      <c r="C461" t="s">
        <v>76</v>
      </c>
      <c r="D461" t="s">
        <v>93</v>
      </c>
      <c r="E461" t="s">
        <v>1173</v>
      </c>
      <c r="F461">
        <v>2020</v>
      </c>
      <c r="G461" t="s">
        <v>1174</v>
      </c>
      <c r="H461" t="s">
        <v>24</v>
      </c>
      <c r="I461" t="s">
        <v>100</v>
      </c>
      <c r="J461">
        <v>7.9</v>
      </c>
      <c r="K461">
        <v>30994</v>
      </c>
      <c r="L461" t="s">
        <v>36</v>
      </c>
      <c r="M461" t="s">
        <v>37</v>
      </c>
      <c r="N461" t="s">
        <v>28</v>
      </c>
      <c r="O461" t="s">
        <v>29</v>
      </c>
      <c r="P461" t="s">
        <v>47</v>
      </c>
      <c r="Q461">
        <v>6.2</v>
      </c>
      <c r="R461">
        <v>6</v>
      </c>
    </row>
    <row r="462" spans="1:18" x14ac:dyDescent="0.3">
      <c r="A462" t="s">
        <v>1175</v>
      </c>
      <c r="B462" t="s">
        <v>40</v>
      </c>
      <c r="C462" t="s">
        <v>32</v>
      </c>
      <c r="D462" t="s">
        <v>77</v>
      </c>
      <c r="E462" t="s">
        <v>1176</v>
      </c>
      <c r="F462">
        <v>2023</v>
      </c>
      <c r="G462" t="s">
        <v>259</v>
      </c>
      <c r="H462" t="s">
        <v>24</v>
      </c>
      <c r="I462" t="s">
        <v>100</v>
      </c>
      <c r="J462">
        <v>10.6</v>
      </c>
      <c r="K462">
        <v>3692</v>
      </c>
      <c r="L462" t="s">
        <v>26</v>
      </c>
      <c r="M462" t="s">
        <v>27</v>
      </c>
      <c r="N462" t="s">
        <v>62</v>
      </c>
      <c r="O462" t="s">
        <v>118</v>
      </c>
      <c r="P462" t="s">
        <v>30</v>
      </c>
      <c r="Q462">
        <v>6</v>
      </c>
      <c r="R462">
        <v>3</v>
      </c>
    </row>
    <row r="463" spans="1:18" x14ac:dyDescent="0.3">
      <c r="A463" t="s">
        <v>1177</v>
      </c>
      <c r="B463" t="s">
        <v>40</v>
      </c>
      <c r="C463" t="s">
        <v>32</v>
      </c>
      <c r="D463" t="s">
        <v>50</v>
      </c>
      <c r="E463" t="s">
        <v>1178</v>
      </c>
      <c r="F463">
        <v>2025</v>
      </c>
      <c r="G463" t="s">
        <v>52</v>
      </c>
      <c r="H463" t="s">
        <v>96</v>
      </c>
      <c r="I463" t="s">
        <v>53</v>
      </c>
      <c r="J463">
        <v>8.6</v>
      </c>
      <c r="K463">
        <v>6627</v>
      </c>
      <c r="L463" t="s">
        <v>45</v>
      </c>
      <c r="M463" t="s">
        <v>80</v>
      </c>
      <c r="N463" t="s">
        <v>28</v>
      </c>
      <c r="O463" t="s">
        <v>118</v>
      </c>
      <c r="P463" t="s">
        <v>38</v>
      </c>
      <c r="Q463">
        <v>7.5</v>
      </c>
      <c r="R463">
        <v>1</v>
      </c>
    </row>
    <row r="464" spans="1:18" x14ac:dyDescent="0.3">
      <c r="A464" t="s">
        <v>1179</v>
      </c>
      <c r="B464" t="s">
        <v>49</v>
      </c>
      <c r="C464" t="s">
        <v>32</v>
      </c>
      <c r="D464" t="s">
        <v>77</v>
      </c>
      <c r="E464" t="s">
        <v>1180</v>
      </c>
      <c r="F464">
        <v>2024</v>
      </c>
      <c r="G464" t="s">
        <v>180</v>
      </c>
      <c r="H464" t="s">
        <v>35</v>
      </c>
      <c r="I464" t="s">
        <v>53</v>
      </c>
      <c r="J464">
        <v>9.9</v>
      </c>
      <c r="K464">
        <v>2206</v>
      </c>
      <c r="L464" t="s">
        <v>36</v>
      </c>
      <c r="M464" t="s">
        <v>27</v>
      </c>
      <c r="N464" t="s">
        <v>62</v>
      </c>
      <c r="O464" t="s">
        <v>118</v>
      </c>
      <c r="P464" t="s">
        <v>74</v>
      </c>
      <c r="Q464">
        <v>7.5</v>
      </c>
      <c r="R464">
        <v>2</v>
      </c>
    </row>
    <row r="465" spans="1:18" x14ac:dyDescent="0.3">
      <c r="A465" t="s">
        <v>1181</v>
      </c>
      <c r="B465" t="s">
        <v>70</v>
      </c>
      <c r="C465" t="s">
        <v>20</v>
      </c>
      <c r="D465" t="s">
        <v>21</v>
      </c>
      <c r="E465" t="s">
        <v>1182</v>
      </c>
      <c r="F465">
        <v>2020</v>
      </c>
      <c r="G465" t="s">
        <v>1183</v>
      </c>
      <c r="H465" t="s">
        <v>24</v>
      </c>
      <c r="I465" t="s">
        <v>100</v>
      </c>
      <c r="J465">
        <v>13.6</v>
      </c>
      <c r="K465">
        <v>38443</v>
      </c>
      <c r="L465" t="s">
        <v>68</v>
      </c>
      <c r="M465" t="s">
        <v>80</v>
      </c>
      <c r="N465" t="s">
        <v>62</v>
      </c>
      <c r="O465" t="s">
        <v>118</v>
      </c>
      <c r="P465" t="s">
        <v>74</v>
      </c>
      <c r="Q465">
        <v>2.1</v>
      </c>
      <c r="R465">
        <v>6</v>
      </c>
    </row>
    <row r="466" spans="1:18" x14ac:dyDescent="0.3">
      <c r="A466" t="s">
        <v>1184</v>
      </c>
      <c r="B466" t="s">
        <v>70</v>
      </c>
      <c r="C466" t="s">
        <v>32</v>
      </c>
      <c r="D466" t="s">
        <v>41</v>
      </c>
      <c r="E466" t="s">
        <v>1185</v>
      </c>
      <c r="F466">
        <v>2014</v>
      </c>
      <c r="G466" t="s">
        <v>895</v>
      </c>
      <c r="H466" t="s">
        <v>24</v>
      </c>
      <c r="I466" t="s">
        <v>44</v>
      </c>
      <c r="J466">
        <v>2.7</v>
      </c>
      <c r="K466">
        <v>6537</v>
      </c>
      <c r="L466" t="s">
        <v>68</v>
      </c>
      <c r="M466" t="s">
        <v>37</v>
      </c>
      <c r="N466" t="s">
        <v>28</v>
      </c>
      <c r="O466" t="s">
        <v>46</v>
      </c>
      <c r="P466" t="s">
        <v>86</v>
      </c>
      <c r="Q466">
        <v>3.1</v>
      </c>
      <c r="R466">
        <v>12</v>
      </c>
    </row>
    <row r="467" spans="1:18" x14ac:dyDescent="0.3">
      <c r="A467" t="s">
        <v>1186</v>
      </c>
      <c r="B467" t="s">
        <v>19</v>
      </c>
      <c r="C467" t="s">
        <v>32</v>
      </c>
      <c r="D467" t="s">
        <v>21</v>
      </c>
      <c r="E467" t="s">
        <v>1187</v>
      </c>
      <c r="F467">
        <v>2018</v>
      </c>
      <c r="G467" t="s">
        <v>820</v>
      </c>
      <c r="H467" t="s">
        <v>96</v>
      </c>
      <c r="I467" t="s">
        <v>25</v>
      </c>
      <c r="J467">
        <v>3.1</v>
      </c>
      <c r="K467">
        <v>30771</v>
      </c>
      <c r="L467" t="s">
        <v>68</v>
      </c>
      <c r="M467" t="s">
        <v>54</v>
      </c>
      <c r="N467" t="s">
        <v>55</v>
      </c>
      <c r="O467" t="s">
        <v>46</v>
      </c>
      <c r="P467" t="s">
        <v>56</v>
      </c>
      <c r="Q467">
        <v>5.0999999999999996</v>
      </c>
      <c r="R467">
        <v>8</v>
      </c>
    </row>
    <row r="468" spans="1:18" x14ac:dyDescent="0.3">
      <c r="A468" t="s">
        <v>1188</v>
      </c>
      <c r="B468" t="s">
        <v>70</v>
      </c>
      <c r="C468" t="s">
        <v>112</v>
      </c>
      <c r="D468" t="s">
        <v>21</v>
      </c>
      <c r="E468" t="s">
        <v>1189</v>
      </c>
      <c r="F468">
        <v>2022</v>
      </c>
      <c r="G468" t="s">
        <v>290</v>
      </c>
      <c r="H468" t="s">
        <v>35</v>
      </c>
      <c r="I468" t="s">
        <v>61</v>
      </c>
      <c r="J468">
        <v>15.2</v>
      </c>
      <c r="K468">
        <v>28562</v>
      </c>
      <c r="L468" t="s">
        <v>36</v>
      </c>
      <c r="M468" t="s">
        <v>54</v>
      </c>
      <c r="N468" t="s">
        <v>62</v>
      </c>
      <c r="O468" t="s">
        <v>118</v>
      </c>
      <c r="P468" t="s">
        <v>38</v>
      </c>
      <c r="Q468">
        <v>6.6</v>
      </c>
      <c r="R468">
        <v>4</v>
      </c>
    </row>
    <row r="469" spans="1:18" x14ac:dyDescent="0.3">
      <c r="A469" t="s">
        <v>1190</v>
      </c>
      <c r="B469" t="s">
        <v>70</v>
      </c>
      <c r="C469" t="s">
        <v>112</v>
      </c>
      <c r="D469" t="s">
        <v>65</v>
      </c>
      <c r="E469" t="s">
        <v>1191</v>
      </c>
      <c r="F469">
        <v>2017</v>
      </c>
      <c r="G469" t="s">
        <v>244</v>
      </c>
      <c r="H469" t="s">
        <v>24</v>
      </c>
      <c r="I469" t="s">
        <v>44</v>
      </c>
      <c r="J469">
        <v>1.4</v>
      </c>
      <c r="K469">
        <v>31909</v>
      </c>
      <c r="L469" t="s">
        <v>36</v>
      </c>
      <c r="M469" t="s">
        <v>27</v>
      </c>
      <c r="N469" t="s">
        <v>55</v>
      </c>
      <c r="O469" t="s">
        <v>118</v>
      </c>
      <c r="P469" t="s">
        <v>38</v>
      </c>
      <c r="Q469">
        <v>9.5</v>
      </c>
      <c r="R469">
        <v>9</v>
      </c>
    </row>
    <row r="470" spans="1:18" x14ac:dyDescent="0.3">
      <c r="A470" t="s">
        <v>1192</v>
      </c>
      <c r="B470" t="s">
        <v>58</v>
      </c>
      <c r="C470" t="s">
        <v>76</v>
      </c>
      <c r="D470" t="s">
        <v>82</v>
      </c>
      <c r="E470" t="s">
        <v>1193</v>
      </c>
      <c r="F470">
        <v>2022</v>
      </c>
      <c r="G470" t="s">
        <v>573</v>
      </c>
      <c r="H470" t="s">
        <v>24</v>
      </c>
      <c r="I470" t="s">
        <v>100</v>
      </c>
      <c r="J470">
        <v>15.7</v>
      </c>
      <c r="K470">
        <v>2277</v>
      </c>
      <c r="L470" t="s">
        <v>68</v>
      </c>
      <c r="M470" t="s">
        <v>27</v>
      </c>
      <c r="N470" t="s">
        <v>55</v>
      </c>
      <c r="O470" t="s">
        <v>46</v>
      </c>
      <c r="P470" t="s">
        <v>86</v>
      </c>
      <c r="Q470">
        <v>9.6</v>
      </c>
      <c r="R470">
        <v>4</v>
      </c>
    </row>
    <row r="471" spans="1:18" x14ac:dyDescent="0.3">
      <c r="A471" t="s">
        <v>1194</v>
      </c>
      <c r="B471" t="s">
        <v>19</v>
      </c>
      <c r="C471" t="s">
        <v>32</v>
      </c>
      <c r="D471" t="s">
        <v>65</v>
      </c>
      <c r="E471" t="s">
        <v>1195</v>
      </c>
      <c r="F471">
        <v>2024</v>
      </c>
      <c r="G471" t="s">
        <v>540</v>
      </c>
      <c r="H471" t="s">
        <v>24</v>
      </c>
      <c r="I471" t="s">
        <v>85</v>
      </c>
      <c r="J471">
        <v>11.2</v>
      </c>
      <c r="K471">
        <v>44233</v>
      </c>
      <c r="L471" t="s">
        <v>68</v>
      </c>
      <c r="M471" t="s">
        <v>37</v>
      </c>
      <c r="N471" t="s">
        <v>55</v>
      </c>
      <c r="O471" t="s">
        <v>118</v>
      </c>
      <c r="P471" t="s">
        <v>30</v>
      </c>
      <c r="Q471">
        <v>2.9</v>
      </c>
      <c r="R471">
        <v>2</v>
      </c>
    </row>
    <row r="472" spans="1:18" x14ac:dyDescent="0.3">
      <c r="A472" t="s">
        <v>1196</v>
      </c>
      <c r="B472" t="s">
        <v>58</v>
      </c>
      <c r="C472" t="s">
        <v>64</v>
      </c>
      <c r="D472" t="s">
        <v>65</v>
      </c>
      <c r="E472" t="s">
        <v>1197</v>
      </c>
      <c r="F472">
        <v>2023</v>
      </c>
      <c r="G472" t="s">
        <v>523</v>
      </c>
      <c r="H472" t="s">
        <v>35</v>
      </c>
      <c r="I472" t="s">
        <v>61</v>
      </c>
      <c r="J472">
        <v>9.6</v>
      </c>
      <c r="K472">
        <v>13291</v>
      </c>
      <c r="L472" t="s">
        <v>68</v>
      </c>
      <c r="M472" t="s">
        <v>80</v>
      </c>
      <c r="N472" t="s">
        <v>62</v>
      </c>
      <c r="O472" t="s">
        <v>29</v>
      </c>
      <c r="P472" t="s">
        <v>30</v>
      </c>
      <c r="Q472">
        <v>0.6</v>
      </c>
      <c r="R472">
        <v>3</v>
      </c>
    </row>
    <row r="473" spans="1:18" x14ac:dyDescent="0.3">
      <c r="A473" t="s">
        <v>1198</v>
      </c>
      <c r="B473" t="s">
        <v>19</v>
      </c>
      <c r="C473" t="s">
        <v>76</v>
      </c>
      <c r="D473" t="s">
        <v>77</v>
      </c>
      <c r="E473" t="s">
        <v>1199</v>
      </c>
      <c r="F473">
        <v>2015</v>
      </c>
      <c r="G473" t="s">
        <v>994</v>
      </c>
      <c r="H473" t="s">
        <v>24</v>
      </c>
      <c r="I473" t="s">
        <v>53</v>
      </c>
      <c r="J473">
        <v>4.9000000000000004</v>
      </c>
      <c r="K473">
        <v>3730</v>
      </c>
      <c r="L473" t="s">
        <v>26</v>
      </c>
      <c r="M473" t="s">
        <v>80</v>
      </c>
      <c r="N473" t="s">
        <v>28</v>
      </c>
      <c r="O473" t="s">
        <v>46</v>
      </c>
      <c r="P473" t="s">
        <v>38</v>
      </c>
      <c r="Q473">
        <v>9</v>
      </c>
      <c r="R473">
        <v>11</v>
      </c>
    </row>
    <row r="474" spans="1:18" x14ac:dyDescent="0.3">
      <c r="A474" t="s">
        <v>1200</v>
      </c>
      <c r="B474" t="s">
        <v>19</v>
      </c>
      <c r="C474" t="s">
        <v>112</v>
      </c>
      <c r="D474" t="s">
        <v>41</v>
      </c>
      <c r="E474" t="s">
        <v>1201</v>
      </c>
      <c r="F474">
        <v>2017</v>
      </c>
      <c r="G474" t="s">
        <v>331</v>
      </c>
      <c r="H474" t="s">
        <v>96</v>
      </c>
      <c r="I474" t="s">
        <v>61</v>
      </c>
      <c r="J474">
        <v>7.1</v>
      </c>
      <c r="K474">
        <v>43961</v>
      </c>
      <c r="L474" t="s">
        <v>45</v>
      </c>
      <c r="M474" t="s">
        <v>54</v>
      </c>
      <c r="N474" t="s">
        <v>28</v>
      </c>
      <c r="O474" t="s">
        <v>46</v>
      </c>
      <c r="P474" t="s">
        <v>56</v>
      </c>
      <c r="Q474">
        <v>2.9</v>
      </c>
      <c r="R474">
        <v>9</v>
      </c>
    </row>
    <row r="475" spans="1:18" x14ac:dyDescent="0.3">
      <c r="A475" t="s">
        <v>1202</v>
      </c>
      <c r="B475" t="s">
        <v>19</v>
      </c>
      <c r="C475" t="s">
        <v>76</v>
      </c>
      <c r="D475" t="s">
        <v>77</v>
      </c>
      <c r="E475" t="s">
        <v>1203</v>
      </c>
      <c r="F475">
        <v>2021</v>
      </c>
      <c r="G475" t="s">
        <v>480</v>
      </c>
      <c r="H475" t="s">
        <v>35</v>
      </c>
      <c r="I475" t="s">
        <v>25</v>
      </c>
      <c r="J475">
        <v>16.3</v>
      </c>
      <c r="K475">
        <v>22694</v>
      </c>
      <c r="L475" t="s">
        <v>68</v>
      </c>
      <c r="M475" t="s">
        <v>54</v>
      </c>
      <c r="N475" t="s">
        <v>28</v>
      </c>
      <c r="O475" t="s">
        <v>118</v>
      </c>
      <c r="P475" t="s">
        <v>30</v>
      </c>
      <c r="Q475">
        <v>4.0999999999999996</v>
      </c>
      <c r="R475">
        <v>5</v>
      </c>
    </row>
    <row r="476" spans="1:18" x14ac:dyDescent="0.3">
      <c r="A476" t="s">
        <v>1204</v>
      </c>
      <c r="B476" t="s">
        <v>70</v>
      </c>
      <c r="C476" t="s">
        <v>20</v>
      </c>
      <c r="D476" t="s">
        <v>21</v>
      </c>
      <c r="E476" t="s">
        <v>1205</v>
      </c>
      <c r="F476">
        <v>2019</v>
      </c>
      <c r="G476" t="s">
        <v>452</v>
      </c>
      <c r="H476" t="s">
        <v>24</v>
      </c>
      <c r="I476" t="s">
        <v>85</v>
      </c>
      <c r="J476">
        <v>17.600000000000001</v>
      </c>
      <c r="K476">
        <v>14651</v>
      </c>
      <c r="L476" t="s">
        <v>45</v>
      </c>
      <c r="M476" t="s">
        <v>27</v>
      </c>
      <c r="N476" t="s">
        <v>28</v>
      </c>
      <c r="O476" t="s">
        <v>46</v>
      </c>
      <c r="P476" t="s">
        <v>47</v>
      </c>
      <c r="Q476">
        <v>1.5</v>
      </c>
      <c r="R476">
        <v>7</v>
      </c>
    </row>
    <row r="477" spans="1:18" x14ac:dyDescent="0.3">
      <c r="A477" t="s">
        <v>1206</v>
      </c>
      <c r="B477" t="s">
        <v>58</v>
      </c>
      <c r="C477" t="s">
        <v>64</v>
      </c>
      <c r="D477" t="s">
        <v>93</v>
      </c>
      <c r="E477" t="s">
        <v>1207</v>
      </c>
      <c r="F477">
        <v>2022</v>
      </c>
      <c r="G477" t="s">
        <v>438</v>
      </c>
      <c r="H477" t="s">
        <v>35</v>
      </c>
      <c r="I477" t="s">
        <v>85</v>
      </c>
      <c r="J477">
        <v>13</v>
      </c>
      <c r="K477">
        <v>8269</v>
      </c>
      <c r="L477" t="s">
        <v>26</v>
      </c>
      <c r="M477" t="s">
        <v>80</v>
      </c>
      <c r="N477" t="s">
        <v>28</v>
      </c>
      <c r="O477" t="s">
        <v>46</v>
      </c>
      <c r="P477" t="s">
        <v>38</v>
      </c>
      <c r="Q477">
        <v>2.9</v>
      </c>
      <c r="R477">
        <v>4</v>
      </c>
    </row>
    <row r="478" spans="1:18" x14ac:dyDescent="0.3">
      <c r="A478" t="s">
        <v>1208</v>
      </c>
      <c r="B478" t="s">
        <v>58</v>
      </c>
      <c r="C478" t="s">
        <v>64</v>
      </c>
      <c r="D478" t="s">
        <v>65</v>
      </c>
      <c r="E478" t="s">
        <v>1209</v>
      </c>
      <c r="F478">
        <v>2021</v>
      </c>
      <c r="G478" t="s">
        <v>1042</v>
      </c>
      <c r="H478" t="s">
        <v>35</v>
      </c>
      <c r="I478" t="s">
        <v>44</v>
      </c>
      <c r="J478">
        <v>12.1</v>
      </c>
      <c r="K478">
        <v>18961</v>
      </c>
      <c r="L478" t="s">
        <v>73</v>
      </c>
      <c r="M478" t="s">
        <v>37</v>
      </c>
      <c r="N478" t="s">
        <v>55</v>
      </c>
      <c r="O478" t="s">
        <v>46</v>
      </c>
      <c r="P478" t="s">
        <v>30</v>
      </c>
      <c r="Q478">
        <v>5.4</v>
      </c>
      <c r="R478">
        <v>5</v>
      </c>
    </row>
    <row r="479" spans="1:18" x14ac:dyDescent="0.3">
      <c r="A479" t="s">
        <v>1210</v>
      </c>
      <c r="B479" t="s">
        <v>58</v>
      </c>
      <c r="C479" t="s">
        <v>76</v>
      </c>
      <c r="D479" t="s">
        <v>50</v>
      </c>
      <c r="E479" t="s">
        <v>1211</v>
      </c>
      <c r="F479">
        <v>2021</v>
      </c>
      <c r="G479" t="s">
        <v>485</v>
      </c>
      <c r="H479" t="s">
        <v>35</v>
      </c>
      <c r="I479" t="s">
        <v>44</v>
      </c>
      <c r="J479">
        <v>10</v>
      </c>
      <c r="K479">
        <v>1716</v>
      </c>
      <c r="L479" t="s">
        <v>36</v>
      </c>
      <c r="M479" t="s">
        <v>27</v>
      </c>
      <c r="N479" t="s">
        <v>28</v>
      </c>
      <c r="O479" t="s">
        <v>46</v>
      </c>
      <c r="P479" t="s">
        <v>74</v>
      </c>
      <c r="Q479">
        <v>9.4</v>
      </c>
      <c r="R479">
        <v>5</v>
      </c>
    </row>
    <row r="480" spans="1:18" x14ac:dyDescent="0.3">
      <c r="A480" t="s">
        <v>1212</v>
      </c>
      <c r="B480" t="s">
        <v>70</v>
      </c>
      <c r="C480" t="s">
        <v>76</v>
      </c>
      <c r="D480" t="s">
        <v>41</v>
      </c>
      <c r="E480" t="s">
        <v>1213</v>
      </c>
      <c r="F480">
        <v>2019</v>
      </c>
      <c r="G480" t="s">
        <v>734</v>
      </c>
      <c r="H480" t="s">
        <v>35</v>
      </c>
      <c r="I480" t="s">
        <v>25</v>
      </c>
      <c r="J480">
        <v>2.1</v>
      </c>
      <c r="K480">
        <v>36537</v>
      </c>
      <c r="L480" t="s">
        <v>68</v>
      </c>
      <c r="M480" t="s">
        <v>80</v>
      </c>
      <c r="N480" t="s">
        <v>55</v>
      </c>
      <c r="O480" t="s">
        <v>118</v>
      </c>
      <c r="P480" t="s">
        <v>38</v>
      </c>
      <c r="Q480">
        <v>2.4</v>
      </c>
      <c r="R480">
        <v>7</v>
      </c>
    </row>
    <row r="481" spans="1:18" x14ac:dyDescent="0.3">
      <c r="A481" t="s">
        <v>1214</v>
      </c>
      <c r="B481" t="s">
        <v>58</v>
      </c>
      <c r="C481" t="s">
        <v>64</v>
      </c>
      <c r="D481" t="s">
        <v>77</v>
      </c>
      <c r="E481" t="s">
        <v>1215</v>
      </c>
      <c r="F481">
        <v>2022</v>
      </c>
      <c r="G481" t="s">
        <v>540</v>
      </c>
      <c r="H481" t="s">
        <v>35</v>
      </c>
      <c r="I481" t="s">
        <v>44</v>
      </c>
      <c r="J481">
        <v>11.5</v>
      </c>
      <c r="K481">
        <v>25044</v>
      </c>
      <c r="L481" t="s">
        <v>36</v>
      </c>
      <c r="M481" t="s">
        <v>80</v>
      </c>
      <c r="N481" t="s">
        <v>62</v>
      </c>
      <c r="O481" t="s">
        <v>118</v>
      </c>
      <c r="P481" t="s">
        <v>38</v>
      </c>
      <c r="Q481">
        <v>2.2999999999999998</v>
      </c>
      <c r="R481">
        <v>4</v>
      </c>
    </row>
    <row r="482" spans="1:18" x14ac:dyDescent="0.3">
      <c r="A482" t="s">
        <v>1216</v>
      </c>
      <c r="B482" t="s">
        <v>19</v>
      </c>
      <c r="C482" t="s">
        <v>32</v>
      </c>
      <c r="D482" t="s">
        <v>21</v>
      </c>
      <c r="E482" t="s">
        <v>1217</v>
      </c>
      <c r="F482">
        <v>2014</v>
      </c>
      <c r="G482" t="s">
        <v>560</v>
      </c>
      <c r="H482" t="s">
        <v>24</v>
      </c>
      <c r="I482" t="s">
        <v>44</v>
      </c>
      <c r="J482">
        <v>14.4</v>
      </c>
      <c r="K482">
        <v>43666</v>
      </c>
      <c r="L482" t="s">
        <v>68</v>
      </c>
      <c r="M482" t="s">
        <v>27</v>
      </c>
      <c r="N482" t="s">
        <v>62</v>
      </c>
      <c r="O482" t="s">
        <v>118</v>
      </c>
      <c r="P482" t="s">
        <v>30</v>
      </c>
      <c r="Q482">
        <v>0.9</v>
      </c>
      <c r="R482">
        <v>12</v>
      </c>
    </row>
    <row r="483" spans="1:18" x14ac:dyDescent="0.3">
      <c r="A483" t="s">
        <v>1218</v>
      </c>
      <c r="B483" t="s">
        <v>19</v>
      </c>
      <c r="C483" t="s">
        <v>76</v>
      </c>
      <c r="D483" t="s">
        <v>41</v>
      </c>
      <c r="E483" t="s">
        <v>1219</v>
      </c>
      <c r="F483">
        <v>2014</v>
      </c>
      <c r="G483" t="s">
        <v>1142</v>
      </c>
      <c r="H483" t="s">
        <v>24</v>
      </c>
      <c r="I483" t="s">
        <v>25</v>
      </c>
      <c r="J483">
        <v>12.2</v>
      </c>
      <c r="K483">
        <v>31539</v>
      </c>
      <c r="L483" t="s">
        <v>101</v>
      </c>
      <c r="M483" t="s">
        <v>54</v>
      </c>
      <c r="N483" t="s">
        <v>62</v>
      </c>
      <c r="O483" t="s">
        <v>46</v>
      </c>
      <c r="P483" t="s">
        <v>56</v>
      </c>
      <c r="Q483">
        <v>9.3000000000000007</v>
      </c>
      <c r="R483">
        <v>12</v>
      </c>
    </row>
    <row r="484" spans="1:18" x14ac:dyDescent="0.3">
      <c r="A484" t="s">
        <v>1220</v>
      </c>
      <c r="B484" t="s">
        <v>40</v>
      </c>
      <c r="C484" t="s">
        <v>76</v>
      </c>
      <c r="D484" t="s">
        <v>65</v>
      </c>
      <c r="E484" t="s">
        <v>1221</v>
      </c>
      <c r="F484">
        <v>2014</v>
      </c>
      <c r="G484" t="s">
        <v>532</v>
      </c>
      <c r="H484" t="s">
        <v>24</v>
      </c>
      <c r="I484" t="s">
        <v>100</v>
      </c>
      <c r="J484">
        <v>1.3</v>
      </c>
      <c r="K484">
        <v>44018</v>
      </c>
      <c r="L484" t="s">
        <v>73</v>
      </c>
      <c r="M484" t="s">
        <v>80</v>
      </c>
      <c r="N484" t="s">
        <v>28</v>
      </c>
      <c r="O484" t="s">
        <v>46</v>
      </c>
      <c r="P484" t="s">
        <v>30</v>
      </c>
      <c r="Q484">
        <v>9.1</v>
      </c>
      <c r="R484">
        <v>12</v>
      </c>
    </row>
    <row r="485" spans="1:18" x14ac:dyDescent="0.3">
      <c r="A485" t="s">
        <v>1222</v>
      </c>
      <c r="B485" t="s">
        <v>49</v>
      </c>
      <c r="C485" t="s">
        <v>64</v>
      </c>
      <c r="D485" t="s">
        <v>50</v>
      </c>
      <c r="E485" t="s">
        <v>1223</v>
      </c>
      <c r="F485">
        <v>2015</v>
      </c>
      <c r="G485" t="s">
        <v>1174</v>
      </c>
      <c r="H485" t="s">
        <v>35</v>
      </c>
      <c r="I485" t="s">
        <v>44</v>
      </c>
      <c r="J485">
        <v>2.5</v>
      </c>
      <c r="K485">
        <v>40492</v>
      </c>
      <c r="L485" t="s">
        <v>45</v>
      </c>
      <c r="M485" t="s">
        <v>54</v>
      </c>
      <c r="N485" t="s">
        <v>28</v>
      </c>
      <c r="O485" t="s">
        <v>29</v>
      </c>
      <c r="P485" t="s">
        <v>47</v>
      </c>
      <c r="Q485">
        <v>3.7</v>
      </c>
      <c r="R485">
        <v>11</v>
      </c>
    </row>
    <row r="486" spans="1:18" x14ac:dyDescent="0.3">
      <c r="A486" t="s">
        <v>1224</v>
      </c>
      <c r="B486" t="s">
        <v>58</v>
      </c>
      <c r="C486" t="s">
        <v>20</v>
      </c>
      <c r="D486" t="s">
        <v>41</v>
      </c>
      <c r="E486" t="s">
        <v>1225</v>
      </c>
      <c r="F486">
        <v>2025</v>
      </c>
      <c r="G486" t="s">
        <v>344</v>
      </c>
      <c r="H486" t="s">
        <v>96</v>
      </c>
      <c r="I486" t="s">
        <v>100</v>
      </c>
      <c r="J486">
        <v>10.1</v>
      </c>
      <c r="K486">
        <v>22575</v>
      </c>
      <c r="L486" t="s">
        <v>73</v>
      </c>
      <c r="M486" t="s">
        <v>80</v>
      </c>
      <c r="N486" t="s">
        <v>62</v>
      </c>
      <c r="O486" t="s">
        <v>29</v>
      </c>
      <c r="P486" t="s">
        <v>86</v>
      </c>
      <c r="Q486">
        <v>1.1000000000000001</v>
      </c>
      <c r="R486">
        <v>1</v>
      </c>
    </row>
    <row r="487" spans="1:18" x14ac:dyDescent="0.3">
      <c r="A487" t="s">
        <v>1226</v>
      </c>
      <c r="B487" t="s">
        <v>58</v>
      </c>
      <c r="C487" t="s">
        <v>64</v>
      </c>
      <c r="D487" t="s">
        <v>65</v>
      </c>
      <c r="E487" t="s">
        <v>1227</v>
      </c>
      <c r="F487">
        <v>2018</v>
      </c>
      <c r="G487" t="s">
        <v>239</v>
      </c>
      <c r="H487" t="s">
        <v>24</v>
      </c>
      <c r="I487" t="s">
        <v>61</v>
      </c>
      <c r="J487">
        <v>8.1999999999999993</v>
      </c>
      <c r="K487">
        <v>39641</v>
      </c>
      <c r="L487" t="s">
        <v>26</v>
      </c>
      <c r="M487" t="s">
        <v>54</v>
      </c>
      <c r="N487" t="s">
        <v>28</v>
      </c>
      <c r="O487" t="s">
        <v>46</v>
      </c>
      <c r="P487" t="s">
        <v>74</v>
      </c>
      <c r="Q487">
        <v>4.0999999999999996</v>
      </c>
      <c r="R487">
        <v>8</v>
      </c>
    </row>
    <row r="488" spans="1:18" x14ac:dyDescent="0.3">
      <c r="A488" t="s">
        <v>1228</v>
      </c>
      <c r="B488" t="s">
        <v>58</v>
      </c>
      <c r="C488" t="s">
        <v>112</v>
      </c>
      <c r="D488" t="s">
        <v>41</v>
      </c>
      <c r="E488" t="s">
        <v>1229</v>
      </c>
      <c r="F488">
        <v>2016</v>
      </c>
      <c r="G488" t="s">
        <v>1042</v>
      </c>
      <c r="H488" t="s">
        <v>24</v>
      </c>
      <c r="I488" t="s">
        <v>44</v>
      </c>
      <c r="J488">
        <v>12.9</v>
      </c>
      <c r="K488">
        <v>40410</v>
      </c>
      <c r="L488" t="s">
        <v>68</v>
      </c>
      <c r="M488" t="s">
        <v>27</v>
      </c>
      <c r="N488" t="s">
        <v>62</v>
      </c>
      <c r="O488" t="s">
        <v>118</v>
      </c>
      <c r="P488" t="s">
        <v>38</v>
      </c>
      <c r="Q488">
        <v>1.7</v>
      </c>
      <c r="R488">
        <v>10</v>
      </c>
    </row>
    <row r="489" spans="1:18" x14ac:dyDescent="0.3">
      <c r="A489" t="s">
        <v>1230</v>
      </c>
      <c r="B489" t="s">
        <v>70</v>
      </c>
      <c r="C489" t="s">
        <v>32</v>
      </c>
      <c r="D489" t="s">
        <v>82</v>
      </c>
      <c r="E489" t="s">
        <v>1231</v>
      </c>
      <c r="F489">
        <v>2016</v>
      </c>
      <c r="G489" t="s">
        <v>1003</v>
      </c>
      <c r="H489" t="s">
        <v>24</v>
      </c>
      <c r="I489" t="s">
        <v>61</v>
      </c>
      <c r="J489">
        <v>11.2</v>
      </c>
      <c r="K489">
        <v>3965</v>
      </c>
      <c r="L489" t="s">
        <v>45</v>
      </c>
      <c r="M489" t="s">
        <v>54</v>
      </c>
      <c r="N489" t="s">
        <v>62</v>
      </c>
      <c r="O489" t="s">
        <v>118</v>
      </c>
      <c r="P489" t="s">
        <v>74</v>
      </c>
      <c r="Q489">
        <v>9.5</v>
      </c>
      <c r="R489">
        <v>10</v>
      </c>
    </row>
    <row r="490" spans="1:18" x14ac:dyDescent="0.3">
      <c r="A490" t="s">
        <v>1232</v>
      </c>
      <c r="B490" t="s">
        <v>70</v>
      </c>
      <c r="C490" t="s">
        <v>20</v>
      </c>
      <c r="D490" t="s">
        <v>82</v>
      </c>
      <c r="E490" t="s">
        <v>1233</v>
      </c>
      <c r="F490">
        <v>2024</v>
      </c>
      <c r="G490" t="s">
        <v>148</v>
      </c>
      <c r="H490" t="s">
        <v>24</v>
      </c>
      <c r="I490" t="s">
        <v>61</v>
      </c>
      <c r="J490">
        <v>3.9</v>
      </c>
      <c r="K490">
        <v>36247</v>
      </c>
      <c r="L490" t="s">
        <v>26</v>
      </c>
      <c r="M490" t="s">
        <v>37</v>
      </c>
      <c r="N490" t="s">
        <v>62</v>
      </c>
      <c r="O490" t="s">
        <v>46</v>
      </c>
      <c r="P490" t="s">
        <v>56</v>
      </c>
      <c r="Q490">
        <v>4.9000000000000004</v>
      </c>
      <c r="R490">
        <v>2</v>
      </c>
    </row>
    <row r="491" spans="1:18" x14ac:dyDescent="0.3">
      <c r="A491" t="s">
        <v>1234</v>
      </c>
      <c r="B491" t="s">
        <v>40</v>
      </c>
      <c r="C491" t="s">
        <v>20</v>
      </c>
      <c r="D491" t="s">
        <v>41</v>
      </c>
      <c r="E491" t="s">
        <v>1235</v>
      </c>
      <c r="F491">
        <v>2024</v>
      </c>
      <c r="G491" t="s">
        <v>895</v>
      </c>
      <c r="H491" t="s">
        <v>24</v>
      </c>
      <c r="I491" t="s">
        <v>61</v>
      </c>
      <c r="J491">
        <v>12.5</v>
      </c>
      <c r="K491">
        <v>32591</v>
      </c>
      <c r="L491" t="s">
        <v>36</v>
      </c>
      <c r="M491" t="s">
        <v>54</v>
      </c>
      <c r="N491" t="s">
        <v>28</v>
      </c>
      <c r="O491" t="s">
        <v>46</v>
      </c>
      <c r="P491" t="s">
        <v>30</v>
      </c>
      <c r="Q491">
        <v>1</v>
      </c>
      <c r="R491">
        <v>2</v>
      </c>
    </row>
    <row r="492" spans="1:18" x14ac:dyDescent="0.3">
      <c r="A492" t="s">
        <v>1236</v>
      </c>
      <c r="B492" t="s">
        <v>40</v>
      </c>
      <c r="C492" t="s">
        <v>76</v>
      </c>
      <c r="D492" t="s">
        <v>77</v>
      </c>
      <c r="E492" t="s">
        <v>1237</v>
      </c>
      <c r="F492">
        <v>2019</v>
      </c>
      <c r="G492" t="s">
        <v>373</v>
      </c>
      <c r="H492" t="s">
        <v>24</v>
      </c>
      <c r="I492" t="s">
        <v>85</v>
      </c>
      <c r="J492">
        <v>1.3</v>
      </c>
      <c r="K492">
        <v>4937</v>
      </c>
      <c r="L492" t="s">
        <v>45</v>
      </c>
      <c r="M492" t="s">
        <v>54</v>
      </c>
      <c r="N492" t="s">
        <v>28</v>
      </c>
      <c r="O492" t="s">
        <v>29</v>
      </c>
      <c r="P492" t="s">
        <v>47</v>
      </c>
      <c r="Q492">
        <v>5.4</v>
      </c>
      <c r="R492">
        <v>7</v>
      </c>
    </row>
    <row r="493" spans="1:18" x14ac:dyDescent="0.3">
      <c r="A493" t="s">
        <v>1238</v>
      </c>
      <c r="B493" t="s">
        <v>58</v>
      </c>
      <c r="C493" t="s">
        <v>32</v>
      </c>
      <c r="D493" t="s">
        <v>93</v>
      </c>
      <c r="E493" t="s">
        <v>1239</v>
      </c>
      <c r="F493">
        <v>2015</v>
      </c>
      <c r="G493" t="s">
        <v>695</v>
      </c>
      <c r="H493" t="s">
        <v>24</v>
      </c>
      <c r="I493" t="s">
        <v>61</v>
      </c>
      <c r="J493">
        <v>13.6</v>
      </c>
      <c r="K493">
        <v>22844</v>
      </c>
      <c r="L493" t="s">
        <v>73</v>
      </c>
      <c r="M493" t="s">
        <v>80</v>
      </c>
      <c r="N493" t="s">
        <v>55</v>
      </c>
      <c r="O493" t="s">
        <v>29</v>
      </c>
      <c r="P493" t="s">
        <v>30</v>
      </c>
      <c r="Q493">
        <v>2.8</v>
      </c>
      <c r="R493">
        <v>11</v>
      </c>
    </row>
    <row r="494" spans="1:18" x14ac:dyDescent="0.3">
      <c r="A494" t="s">
        <v>1240</v>
      </c>
      <c r="B494" t="s">
        <v>58</v>
      </c>
      <c r="C494" t="s">
        <v>64</v>
      </c>
      <c r="D494" t="s">
        <v>41</v>
      </c>
      <c r="E494" t="s">
        <v>1241</v>
      </c>
      <c r="F494">
        <v>2020</v>
      </c>
      <c r="G494" t="s">
        <v>926</v>
      </c>
      <c r="H494" t="s">
        <v>24</v>
      </c>
      <c r="I494" t="s">
        <v>85</v>
      </c>
      <c r="J494">
        <v>1.5</v>
      </c>
      <c r="K494">
        <v>30064</v>
      </c>
      <c r="L494" t="s">
        <v>73</v>
      </c>
      <c r="M494" t="s">
        <v>54</v>
      </c>
      <c r="N494" t="s">
        <v>62</v>
      </c>
      <c r="O494" t="s">
        <v>118</v>
      </c>
      <c r="P494" t="s">
        <v>56</v>
      </c>
      <c r="Q494">
        <v>4.2</v>
      </c>
      <c r="R494">
        <v>6</v>
      </c>
    </row>
    <row r="495" spans="1:18" x14ac:dyDescent="0.3">
      <c r="A495" t="s">
        <v>1242</v>
      </c>
      <c r="B495" t="s">
        <v>40</v>
      </c>
      <c r="C495" t="s">
        <v>20</v>
      </c>
      <c r="D495" t="s">
        <v>77</v>
      </c>
      <c r="E495" t="s">
        <v>1243</v>
      </c>
      <c r="F495">
        <v>2016</v>
      </c>
      <c r="G495" t="s">
        <v>501</v>
      </c>
      <c r="H495" t="s">
        <v>24</v>
      </c>
      <c r="I495" t="s">
        <v>61</v>
      </c>
      <c r="J495">
        <v>1.1000000000000001</v>
      </c>
      <c r="K495">
        <v>38768</v>
      </c>
      <c r="L495" t="s">
        <v>26</v>
      </c>
      <c r="M495" t="s">
        <v>37</v>
      </c>
      <c r="N495" t="s">
        <v>28</v>
      </c>
      <c r="O495" t="s">
        <v>29</v>
      </c>
      <c r="P495" t="s">
        <v>47</v>
      </c>
      <c r="Q495">
        <v>4.9000000000000004</v>
      </c>
      <c r="R495">
        <v>10</v>
      </c>
    </row>
    <row r="496" spans="1:18" x14ac:dyDescent="0.3">
      <c r="A496" t="s">
        <v>1244</v>
      </c>
      <c r="B496" t="s">
        <v>70</v>
      </c>
      <c r="C496" t="s">
        <v>64</v>
      </c>
      <c r="D496" t="s">
        <v>77</v>
      </c>
      <c r="E496" t="s">
        <v>1245</v>
      </c>
      <c r="F496">
        <v>2016</v>
      </c>
      <c r="G496" t="s">
        <v>360</v>
      </c>
      <c r="H496" t="s">
        <v>35</v>
      </c>
      <c r="I496" t="s">
        <v>25</v>
      </c>
      <c r="J496">
        <v>17.2</v>
      </c>
      <c r="K496">
        <v>12636</v>
      </c>
      <c r="L496" t="s">
        <v>45</v>
      </c>
      <c r="M496" t="s">
        <v>54</v>
      </c>
      <c r="N496" t="s">
        <v>28</v>
      </c>
      <c r="O496" t="s">
        <v>118</v>
      </c>
      <c r="P496" t="s">
        <v>74</v>
      </c>
      <c r="Q496">
        <v>5.0999999999999996</v>
      </c>
      <c r="R496">
        <v>10</v>
      </c>
    </row>
    <row r="497" spans="1:18" x14ac:dyDescent="0.3">
      <c r="A497" t="s">
        <v>1246</v>
      </c>
      <c r="B497" t="s">
        <v>58</v>
      </c>
      <c r="C497" t="s">
        <v>76</v>
      </c>
      <c r="D497" t="s">
        <v>77</v>
      </c>
      <c r="E497" t="s">
        <v>1247</v>
      </c>
      <c r="F497">
        <v>2017</v>
      </c>
      <c r="G497" t="s">
        <v>1248</v>
      </c>
      <c r="H497" t="s">
        <v>24</v>
      </c>
      <c r="I497" t="s">
        <v>85</v>
      </c>
      <c r="J497">
        <v>13.4</v>
      </c>
      <c r="K497">
        <v>17664</v>
      </c>
      <c r="L497" t="s">
        <v>73</v>
      </c>
      <c r="M497" t="s">
        <v>37</v>
      </c>
      <c r="N497" t="s">
        <v>55</v>
      </c>
      <c r="O497" t="s">
        <v>46</v>
      </c>
      <c r="P497" t="s">
        <v>56</v>
      </c>
      <c r="Q497">
        <v>9</v>
      </c>
      <c r="R497">
        <v>9</v>
      </c>
    </row>
    <row r="498" spans="1:18" x14ac:dyDescent="0.3">
      <c r="A498" t="s">
        <v>1249</v>
      </c>
      <c r="B498" t="s">
        <v>49</v>
      </c>
      <c r="C498" t="s">
        <v>112</v>
      </c>
      <c r="D498" t="s">
        <v>82</v>
      </c>
      <c r="E498" t="s">
        <v>1250</v>
      </c>
      <c r="F498">
        <v>2023</v>
      </c>
      <c r="G498" t="s">
        <v>142</v>
      </c>
      <c r="H498" t="s">
        <v>96</v>
      </c>
      <c r="I498" t="s">
        <v>44</v>
      </c>
      <c r="J498">
        <v>17.8</v>
      </c>
      <c r="K498">
        <v>34544</v>
      </c>
      <c r="L498" t="s">
        <v>26</v>
      </c>
      <c r="M498" t="s">
        <v>27</v>
      </c>
      <c r="N498" t="s">
        <v>62</v>
      </c>
      <c r="O498" t="s">
        <v>118</v>
      </c>
      <c r="P498" t="s">
        <v>47</v>
      </c>
      <c r="Q498">
        <v>8.1999999999999993</v>
      </c>
      <c r="R498">
        <v>3</v>
      </c>
    </row>
    <row r="499" spans="1:18" x14ac:dyDescent="0.3">
      <c r="A499" t="s">
        <v>1251</v>
      </c>
      <c r="B499" t="s">
        <v>19</v>
      </c>
      <c r="C499" t="s">
        <v>76</v>
      </c>
      <c r="D499" t="s">
        <v>82</v>
      </c>
      <c r="E499" t="s">
        <v>1252</v>
      </c>
      <c r="F499">
        <v>2025</v>
      </c>
      <c r="G499" t="s">
        <v>298</v>
      </c>
      <c r="H499" t="s">
        <v>24</v>
      </c>
      <c r="I499" t="s">
        <v>100</v>
      </c>
      <c r="J499">
        <v>13.7</v>
      </c>
      <c r="K499">
        <v>28148</v>
      </c>
      <c r="L499" t="s">
        <v>73</v>
      </c>
      <c r="M499" t="s">
        <v>54</v>
      </c>
      <c r="N499" t="s">
        <v>55</v>
      </c>
      <c r="O499" t="s">
        <v>118</v>
      </c>
      <c r="P499" t="s">
        <v>56</v>
      </c>
      <c r="Q499">
        <v>6.7</v>
      </c>
      <c r="R499">
        <v>1</v>
      </c>
    </row>
    <row r="500" spans="1:18" x14ac:dyDescent="0.3">
      <c r="A500" t="s">
        <v>1253</v>
      </c>
      <c r="B500" t="s">
        <v>58</v>
      </c>
      <c r="C500" t="s">
        <v>20</v>
      </c>
      <c r="D500" t="s">
        <v>21</v>
      </c>
      <c r="E500" t="s">
        <v>1254</v>
      </c>
      <c r="F500">
        <v>2015</v>
      </c>
      <c r="G500" t="s">
        <v>1042</v>
      </c>
      <c r="H500" t="s">
        <v>35</v>
      </c>
      <c r="I500" t="s">
        <v>100</v>
      </c>
      <c r="J500">
        <v>13.6</v>
      </c>
      <c r="K500">
        <v>3099</v>
      </c>
      <c r="L500" t="s">
        <v>36</v>
      </c>
      <c r="M500" t="s">
        <v>27</v>
      </c>
      <c r="N500" t="s">
        <v>28</v>
      </c>
      <c r="O500" t="s">
        <v>46</v>
      </c>
      <c r="P500" t="s">
        <v>47</v>
      </c>
      <c r="Q500">
        <v>2.2999999999999998</v>
      </c>
      <c r="R500">
        <v>11</v>
      </c>
    </row>
    <row r="501" spans="1:18" x14ac:dyDescent="0.3">
      <c r="A501" t="s">
        <v>1255</v>
      </c>
      <c r="B501" t="s">
        <v>58</v>
      </c>
      <c r="C501" t="s">
        <v>112</v>
      </c>
      <c r="D501" t="s">
        <v>50</v>
      </c>
      <c r="E501" t="s">
        <v>1256</v>
      </c>
      <c r="F501">
        <v>2019</v>
      </c>
      <c r="G501" t="s">
        <v>201</v>
      </c>
      <c r="H501" t="s">
        <v>35</v>
      </c>
      <c r="I501" t="s">
        <v>85</v>
      </c>
      <c r="J501">
        <v>16.100000000000001</v>
      </c>
      <c r="K501">
        <v>23317</v>
      </c>
      <c r="L501" t="s">
        <v>45</v>
      </c>
      <c r="M501" t="s">
        <v>80</v>
      </c>
      <c r="N501" t="s">
        <v>55</v>
      </c>
      <c r="O501" t="s">
        <v>118</v>
      </c>
      <c r="P501" t="s">
        <v>86</v>
      </c>
      <c r="Q501">
        <v>7.1</v>
      </c>
      <c r="R501">
        <v>7</v>
      </c>
    </row>
    <row r="502" spans="1:18" x14ac:dyDescent="0.3">
      <c r="A502" t="s">
        <v>1257</v>
      </c>
      <c r="B502" t="s">
        <v>49</v>
      </c>
      <c r="C502" t="s">
        <v>64</v>
      </c>
      <c r="D502" t="s">
        <v>50</v>
      </c>
      <c r="E502" t="s">
        <v>1258</v>
      </c>
      <c r="F502">
        <v>2023</v>
      </c>
      <c r="G502" t="s">
        <v>744</v>
      </c>
      <c r="H502" t="s">
        <v>35</v>
      </c>
      <c r="I502" t="s">
        <v>100</v>
      </c>
      <c r="J502">
        <v>15.9</v>
      </c>
      <c r="K502">
        <v>5092</v>
      </c>
      <c r="L502" t="s">
        <v>45</v>
      </c>
      <c r="M502" t="s">
        <v>37</v>
      </c>
      <c r="N502" t="s">
        <v>28</v>
      </c>
      <c r="O502" t="s">
        <v>29</v>
      </c>
      <c r="P502" t="s">
        <v>47</v>
      </c>
      <c r="Q502">
        <v>4</v>
      </c>
      <c r="R502">
        <v>3</v>
      </c>
    </row>
    <row r="503" spans="1:18" x14ac:dyDescent="0.3">
      <c r="A503" t="s">
        <v>1259</v>
      </c>
      <c r="B503" t="s">
        <v>70</v>
      </c>
      <c r="C503" t="s">
        <v>20</v>
      </c>
      <c r="D503" t="s">
        <v>21</v>
      </c>
      <c r="E503" t="s">
        <v>1260</v>
      </c>
      <c r="F503">
        <v>2023</v>
      </c>
      <c r="G503" t="s">
        <v>540</v>
      </c>
      <c r="H503" t="s">
        <v>35</v>
      </c>
      <c r="I503" t="s">
        <v>25</v>
      </c>
      <c r="J503">
        <v>1.7</v>
      </c>
      <c r="K503">
        <v>14916</v>
      </c>
      <c r="L503" t="s">
        <v>73</v>
      </c>
      <c r="M503" t="s">
        <v>37</v>
      </c>
      <c r="N503" t="s">
        <v>28</v>
      </c>
      <c r="O503" t="s">
        <v>46</v>
      </c>
      <c r="P503" t="s">
        <v>30</v>
      </c>
      <c r="Q503">
        <v>6.7</v>
      </c>
      <c r="R503">
        <v>3</v>
      </c>
    </row>
    <row r="504" spans="1:18" x14ac:dyDescent="0.3">
      <c r="A504" t="s">
        <v>1261</v>
      </c>
      <c r="B504" t="s">
        <v>49</v>
      </c>
      <c r="C504" t="s">
        <v>64</v>
      </c>
      <c r="D504" t="s">
        <v>50</v>
      </c>
      <c r="E504" t="s">
        <v>1262</v>
      </c>
      <c r="F504">
        <v>2025</v>
      </c>
      <c r="G504" t="s">
        <v>209</v>
      </c>
      <c r="H504" t="s">
        <v>35</v>
      </c>
      <c r="I504" t="s">
        <v>61</v>
      </c>
      <c r="J504">
        <v>6.1</v>
      </c>
      <c r="K504">
        <v>19021</v>
      </c>
      <c r="L504" t="s">
        <v>45</v>
      </c>
      <c r="M504" t="s">
        <v>27</v>
      </c>
      <c r="N504" t="s">
        <v>55</v>
      </c>
      <c r="O504" t="s">
        <v>29</v>
      </c>
      <c r="P504" t="s">
        <v>30</v>
      </c>
      <c r="Q504">
        <v>4</v>
      </c>
      <c r="R504">
        <v>1</v>
      </c>
    </row>
    <row r="505" spans="1:18" x14ac:dyDescent="0.3">
      <c r="A505" t="s">
        <v>1263</v>
      </c>
      <c r="B505" t="s">
        <v>49</v>
      </c>
      <c r="C505" t="s">
        <v>32</v>
      </c>
      <c r="D505" t="s">
        <v>50</v>
      </c>
      <c r="E505" t="s">
        <v>1264</v>
      </c>
      <c r="F505">
        <v>2021</v>
      </c>
      <c r="G505" t="s">
        <v>1265</v>
      </c>
      <c r="H505" t="s">
        <v>24</v>
      </c>
      <c r="I505" t="s">
        <v>25</v>
      </c>
      <c r="J505">
        <v>9.8000000000000007</v>
      </c>
      <c r="K505">
        <v>36421</v>
      </c>
      <c r="L505" t="s">
        <v>68</v>
      </c>
      <c r="M505" t="s">
        <v>27</v>
      </c>
      <c r="N505" t="s">
        <v>62</v>
      </c>
      <c r="O505" t="s">
        <v>118</v>
      </c>
      <c r="P505" t="s">
        <v>38</v>
      </c>
      <c r="Q505">
        <v>9.5</v>
      </c>
      <c r="R505">
        <v>5</v>
      </c>
    </row>
    <row r="506" spans="1:18" x14ac:dyDescent="0.3">
      <c r="A506" t="s">
        <v>1266</v>
      </c>
      <c r="B506" t="s">
        <v>58</v>
      </c>
      <c r="C506" t="s">
        <v>112</v>
      </c>
      <c r="D506" t="s">
        <v>41</v>
      </c>
      <c r="E506" t="s">
        <v>1267</v>
      </c>
      <c r="F506">
        <v>2015</v>
      </c>
      <c r="G506" t="s">
        <v>1268</v>
      </c>
      <c r="H506" t="s">
        <v>24</v>
      </c>
      <c r="I506" t="s">
        <v>61</v>
      </c>
      <c r="J506">
        <v>5.5</v>
      </c>
      <c r="K506">
        <v>6542</v>
      </c>
      <c r="L506" t="s">
        <v>26</v>
      </c>
      <c r="M506" t="s">
        <v>54</v>
      </c>
      <c r="N506" t="s">
        <v>55</v>
      </c>
      <c r="O506" t="s">
        <v>29</v>
      </c>
      <c r="P506" t="s">
        <v>38</v>
      </c>
      <c r="Q506">
        <v>1.9</v>
      </c>
      <c r="R506">
        <v>11</v>
      </c>
    </row>
    <row r="507" spans="1:18" x14ac:dyDescent="0.3">
      <c r="A507" t="s">
        <v>1269</v>
      </c>
      <c r="B507" t="s">
        <v>49</v>
      </c>
      <c r="C507" t="s">
        <v>112</v>
      </c>
      <c r="D507" t="s">
        <v>77</v>
      </c>
      <c r="E507" t="s">
        <v>1270</v>
      </c>
      <c r="F507">
        <v>2016</v>
      </c>
      <c r="G507" t="s">
        <v>1271</v>
      </c>
      <c r="H507" t="s">
        <v>24</v>
      </c>
      <c r="I507" t="s">
        <v>25</v>
      </c>
      <c r="J507">
        <v>10</v>
      </c>
      <c r="K507">
        <v>10152</v>
      </c>
      <c r="L507" t="s">
        <v>36</v>
      </c>
      <c r="M507" t="s">
        <v>37</v>
      </c>
      <c r="N507" t="s">
        <v>55</v>
      </c>
      <c r="O507" t="s">
        <v>118</v>
      </c>
      <c r="P507" t="s">
        <v>38</v>
      </c>
      <c r="Q507">
        <v>6.6</v>
      </c>
      <c r="R507">
        <v>10</v>
      </c>
    </row>
    <row r="508" spans="1:18" x14ac:dyDescent="0.3">
      <c r="A508" t="s">
        <v>1272</v>
      </c>
      <c r="B508" t="s">
        <v>19</v>
      </c>
      <c r="C508" t="s">
        <v>112</v>
      </c>
      <c r="D508" t="s">
        <v>50</v>
      </c>
      <c r="E508" t="s">
        <v>1273</v>
      </c>
      <c r="F508">
        <v>2018</v>
      </c>
      <c r="G508" t="s">
        <v>1268</v>
      </c>
      <c r="H508" t="s">
        <v>35</v>
      </c>
      <c r="I508" t="s">
        <v>100</v>
      </c>
      <c r="J508">
        <v>11.8</v>
      </c>
      <c r="K508">
        <v>28480</v>
      </c>
      <c r="L508" t="s">
        <v>45</v>
      </c>
      <c r="M508" t="s">
        <v>37</v>
      </c>
      <c r="N508" t="s">
        <v>62</v>
      </c>
      <c r="O508" t="s">
        <v>46</v>
      </c>
      <c r="P508" t="s">
        <v>86</v>
      </c>
      <c r="Q508">
        <v>5.0999999999999996</v>
      </c>
      <c r="R508">
        <v>8</v>
      </c>
    </row>
    <row r="509" spans="1:18" x14ac:dyDescent="0.3">
      <c r="A509" t="s">
        <v>1274</v>
      </c>
      <c r="B509" t="s">
        <v>49</v>
      </c>
      <c r="C509" t="s">
        <v>32</v>
      </c>
      <c r="D509" t="s">
        <v>82</v>
      </c>
      <c r="E509" t="s">
        <v>1275</v>
      </c>
      <c r="F509">
        <v>2024</v>
      </c>
      <c r="G509" t="s">
        <v>1276</v>
      </c>
      <c r="H509" t="s">
        <v>24</v>
      </c>
      <c r="I509" t="s">
        <v>100</v>
      </c>
      <c r="J509">
        <v>2.8</v>
      </c>
      <c r="K509">
        <v>21586</v>
      </c>
      <c r="L509" t="s">
        <v>73</v>
      </c>
      <c r="M509" t="s">
        <v>37</v>
      </c>
      <c r="N509" t="s">
        <v>28</v>
      </c>
      <c r="O509" t="s">
        <v>118</v>
      </c>
      <c r="P509" t="s">
        <v>86</v>
      </c>
      <c r="Q509">
        <v>9.6999999999999993</v>
      </c>
      <c r="R509">
        <v>2</v>
      </c>
    </row>
    <row r="510" spans="1:18" x14ac:dyDescent="0.3">
      <c r="A510" t="s">
        <v>1277</v>
      </c>
      <c r="B510" t="s">
        <v>70</v>
      </c>
      <c r="C510" t="s">
        <v>20</v>
      </c>
      <c r="D510" t="s">
        <v>82</v>
      </c>
      <c r="E510" t="s">
        <v>1278</v>
      </c>
      <c r="F510">
        <v>2014</v>
      </c>
      <c r="G510" t="s">
        <v>168</v>
      </c>
      <c r="H510" t="s">
        <v>96</v>
      </c>
      <c r="I510" t="s">
        <v>100</v>
      </c>
      <c r="J510">
        <v>16.7</v>
      </c>
      <c r="K510">
        <v>36582</v>
      </c>
      <c r="L510" t="s">
        <v>68</v>
      </c>
      <c r="M510" t="s">
        <v>54</v>
      </c>
      <c r="N510" t="s">
        <v>28</v>
      </c>
      <c r="O510" t="s">
        <v>46</v>
      </c>
      <c r="P510" t="s">
        <v>38</v>
      </c>
      <c r="Q510">
        <v>9.1</v>
      </c>
      <c r="R510">
        <v>12</v>
      </c>
    </row>
    <row r="511" spans="1:18" x14ac:dyDescent="0.3">
      <c r="A511" t="s">
        <v>1279</v>
      </c>
      <c r="B511" t="s">
        <v>40</v>
      </c>
      <c r="C511" t="s">
        <v>112</v>
      </c>
      <c r="D511" t="s">
        <v>41</v>
      </c>
      <c r="E511" t="s">
        <v>1280</v>
      </c>
      <c r="F511">
        <v>2016</v>
      </c>
      <c r="G511" t="s">
        <v>941</v>
      </c>
      <c r="H511" t="s">
        <v>96</v>
      </c>
      <c r="I511" t="s">
        <v>100</v>
      </c>
      <c r="J511">
        <v>2.7</v>
      </c>
      <c r="K511">
        <v>18566</v>
      </c>
      <c r="L511" t="s">
        <v>68</v>
      </c>
      <c r="M511" t="s">
        <v>54</v>
      </c>
      <c r="N511" t="s">
        <v>28</v>
      </c>
      <c r="O511" t="s">
        <v>46</v>
      </c>
      <c r="P511" t="s">
        <v>38</v>
      </c>
      <c r="Q511">
        <v>0.8</v>
      </c>
      <c r="R511">
        <v>10</v>
      </c>
    </row>
    <row r="512" spans="1:18" x14ac:dyDescent="0.3">
      <c r="A512" t="s">
        <v>1281</v>
      </c>
      <c r="B512" t="s">
        <v>40</v>
      </c>
      <c r="C512" t="s">
        <v>20</v>
      </c>
      <c r="D512" t="s">
        <v>82</v>
      </c>
      <c r="E512" t="s">
        <v>1282</v>
      </c>
      <c r="F512">
        <v>2019</v>
      </c>
      <c r="G512" t="s">
        <v>978</v>
      </c>
      <c r="H512" t="s">
        <v>35</v>
      </c>
      <c r="I512" t="s">
        <v>61</v>
      </c>
      <c r="J512">
        <v>9.8000000000000007</v>
      </c>
      <c r="K512">
        <v>9461</v>
      </c>
      <c r="L512" t="s">
        <v>26</v>
      </c>
      <c r="M512" t="s">
        <v>27</v>
      </c>
      <c r="N512" t="s">
        <v>55</v>
      </c>
      <c r="O512" t="s">
        <v>29</v>
      </c>
      <c r="P512" t="s">
        <v>47</v>
      </c>
      <c r="Q512">
        <v>9.3000000000000007</v>
      </c>
      <c r="R512">
        <v>7</v>
      </c>
    </row>
    <row r="513" spans="1:18" x14ac:dyDescent="0.3">
      <c r="A513" t="s">
        <v>1283</v>
      </c>
      <c r="B513" t="s">
        <v>49</v>
      </c>
      <c r="C513" t="s">
        <v>32</v>
      </c>
      <c r="D513" t="s">
        <v>77</v>
      </c>
      <c r="E513" t="s">
        <v>1284</v>
      </c>
      <c r="F513">
        <v>2016</v>
      </c>
      <c r="G513" t="s">
        <v>1135</v>
      </c>
      <c r="H513" t="s">
        <v>35</v>
      </c>
      <c r="I513" t="s">
        <v>53</v>
      </c>
      <c r="J513">
        <v>8.8000000000000007</v>
      </c>
      <c r="K513">
        <v>20494</v>
      </c>
      <c r="L513" t="s">
        <v>45</v>
      </c>
      <c r="M513" t="s">
        <v>54</v>
      </c>
      <c r="N513" t="s">
        <v>62</v>
      </c>
      <c r="O513" t="s">
        <v>46</v>
      </c>
      <c r="P513" t="s">
        <v>47</v>
      </c>
      <c r="Q513">
        <v>3.7</v>
      </c>
      <c r="R513">
        <v>10</v>
      </c>
    </row>
    <row r="514" spans="1:18" x14ac:dyDescent="0.3">
      <c r="A514" t="s">
        <v>1285</v>
      </c>
      <c r="B514" t="s">
        <v>58</v>
      </c>
      <c r="C514" t="s">
        <v>112</v>
      </c>
      <c r="D514" t="s">
        <v>21</v>
      </c>
      <c r="E514" t="s">
        <v>1286</v>
      </c>
      <c r="F514">
        <v>2015</v>
      </c>
      <c r="G514" t="s">
        <v>675</v>
      </c>
      <c r="H514" t="s">
        <v>35</v>
      </c>
      <c r="I514" t="s">
        <v>44</v>
      </c>
      <c r="J514">
        <v>5.9</v>
      </c>
      <c r="K514">
        <v>27821</v>
      </c>
      <c r="L514" t="s">
        <v>45</v>
      </c>
      <c r="M514" t="s">
        <v>54</v>
      </c>
      <c r="N514" t="s">
        <v>55</v>
      </c>
      <c r="O514" t="s">
        <v>118</v>
      </c>
      <c r="P514" t="s">
        <v>30</v>
      </c>
      <c r="Q514">
        <v>3.6</v>
      </c>
      <c r="R514">
        <v>11</v>
      </c>
    </row>
    <row r="515" spans="1:18" x14ac:dyDescent="0.3">
      <c r="A515" t="s">
        <v>1287</v>
      </c>
      <c r="B515" t="s">
        <v>40</v>
      </c>
      <c r="C515" t="s">
        <v>32</v>
      </c>
      <c r="D515" t="s">
        <v>93</v>
      </c>
      <c r="E515" t="s">
        <v>1288</v>
      </c>
      <c r="F515">
        <v>2023</v>
      </c>
      <c r="G515" t="s">
        <v>1289</v>
      </c>
      <c r="H515" t="s">
        <v>24</v>
      </c>
      <c r="I515" t="s">
        <v>53</v>
      </c>
      <c r="J515">
        <v>3.9</v>
      </c>
      <c r="K515">
        <v>6978</v>
      </c>
      <c r="L515" t="s">
        <v>45</v>
      </c>
      <c r="M515" t="s">
        <v>27</v>
      </c>
      <c r="N515" t="s">
        <v>62</v>
      </c>
      <c r="O515" t="s">
        <v>46</v>
      </c>
      <c r="P515" t="s">
        <v>30</v>
      </c>
      <c r="Q515">
        <v>9.8000000000000007</v>
      </c>
      <c r="R515">
        <v>3</v>
      </c>
    </row>
    <row r="516" spans="1:18" x14ac:dyDescent="0.3">
      <c r="A516" t="s">
        <v>1290</v>
      </c>
      <c r="B516" t="s">
        <v>58</v>
      </c>
      <c r="C516" t="s">
        <v>20</v>
      </c>
      <c r="D516" t="s">
        <v>93</v>
      </c>
      <c r="E516" t="s">
        <v>1291</v>
      </c>
      <c r="F516">
        <v>2020</v>
      </c>
      <c r="G516" t="s">
        <v>560</v>
      </c>
      <c r="H516" t="s">
        <v>35</v>
      </c>
      <c r="I516" t="s">
        <v>44</v>
      </c>
      <c r="J516">
        <v>16.399999999999999</v>
      </c>
      <c r="K516">
        <v>25162</v>
      </c>
      <c r="L516" t="s">
        <v>36</v>
      </c>
      <c r="M516" t="s">
        <v>54</v>
      </c>
      <c r="N516" t="s">
        <v>62</v>
      </c>
      <c r="O516" t="s">
        <v>118</v>
      </c>
      <c r="P516" t="s">
        <v>86</v>
      </c>
      <c r="Q516">
        <v>4.2</v>
      </c>
      <c r="R516">
        <v>6</v>
      </c>
    </row>
    <row r="517" spans="1:18" x14ac:dyDescent="0.3">
      <c r="A517" t="s">
        <v>1292</v>
      </c>
      <c r="B517" t="s">
        <v>70</v>
      </c>
      <c r="C517" t="s">
        <v>20</v>
      </c>
      <c r="D517" t="s">
        <v>77</v>
      </c>
      <c r="E517" t="s">
        <v>1293</v>
      </c>
      <c r="F517">
        <v>2014</v>
      </c>
      <c r="G517" t="s">
        <v>373</v>
      </c>
      <c r="H517" t="s">
        <v>96</v>
      </c>
      <c r="I517" t="s">
        <v>100</v>
      </c>
      <c r="J517">
        <v>2</v>
      </c>
      <c r="K517">
        <v>30612</v>
      </c>
      <c r="L517" t="s">
        <v>101</v>
      </c>
      <c r="M517" t="s">
        <v>27</v>
      </c>
      <c r="N517" t="s">
        <v>55</v>
      </c>
      <c r="O517" t="s">
        <v>118</v>
      </c>
      <c r="P517" t="s">
        <v>56</v>
      </c>
      <c r="Q517">
        <v>8.1999999999999993</v>
      </c>
      <c r="R517">
        <v>12</v>
      </c>
    </row>
    <row r="518" spans="1:18" x14ac:dyDescent="0.3">
      <c r="A518" t="s">
        <v>1294</v>
      </c>
      <c r="B518" t="s">
        <v>58</v>
      </c>
      <c r="C518" t="s">
        <v>64</v>
      </c>
      <c r="D518" t="s">
        <v>50</v>
      </c>
      <c r="E518" t="s">
        <v>1295</v>
      </c>
      <c r="F518">
        <v>2020</v>
      </c>
      <c r="G518" t="s">
        <v>114</v>
      </c>
      <c r="H518" t="s">
        <v>35</v>
      </c>
      <c r="I518" t="s">
        <v>44</v>
      </c>
      <c r="J518">
        <v>3</v>
      </c>
      <c r="K518">
        <v>21372</v>
      </c>
      <c r="L518" t="s">
        <v>36</v>
      </c>
      <c r="M518" t="s">
        <v>37</v>
      </c>
      <c r="N518" t="s">
        <v>28</v>
      </c>
      <c r="O518" t="s">
        <v>46</v>
      </c>
      <c r="P518" t="s">
        <v>47</v>
      </c>
      <c r="Q518">
        <v>1.3</v>
      </c>
      <c r="R518">
        <v>6</v>
      </c>
    </row>
    <row r="519" spans="1:18" x14ac:dyDescent="0.3">
      <c r="A519" t="s">
        <v>1296</v>
      </c>
      <c r="B519" t="s">
        <v>70</v>
      </c>
      <c r="C519" t="s">
        <v>76</v>
      </c>
      <c r="D519" t="s">
        <v>21</v>
      </c>
      <c r="E519" t="s">
        <v>1297</v>
      </c>
      <c r="F519">
        <v>2020</v>
      </c>
      <c r="G519" t="s">
        <v>1003</v>
      </c>
      <c r="H519" t="s">
        <v>35</v>
      </c>
      <c r="I519" t="s">
        <v>25</v>
      </c>
      <c r="J519">
        <v>10.4</v>
      </c>
      <c r="K519">
        <v>10473</v>
      </c>
      <c r="L519" t="s">
        <v>73</v>
      </c>
      <c r="M519" t="s">
        <v>54</v>
      </c>
      <c r="N519" t="s">
        <v>55</v>
      </c>
      <c r="O519" t="s">
        <v>118</v>
      </c>
      <c r="P519" t="s">
        <v>74</v>
      </c>
      <c r="Q519">
        <v>5.2</v>
      </c>
      <c r="R519">
        <v>6</v>
      </c>
    </row>
    <row r="520" spans="1:18" x14ac:dyDescent="0.3">
      <c r="A520" t="s">
        <v>1298</v>
      </c>
      <c r="B520" t="s">
        <v>70</v>
      </c>
      <c r="C520" t="s">
        <v>76</v>
      </c>
      <c r="D520" t="s">
        <v>93</v>
      </c>
      <c r="E520" t="s">
        <v>1299</v>
      </c>
      <c r="F520">
        <v>2018</v>
      </c>
      <c r="G520" t="s">
        <v>597</v>
      </c>
      <c r="H520" t="s">
        <v>35</v>
      </c>
      <c r="I520" t="s">
        <v>61</v>
      </c>
      <c r="J520">
        <v>1</v>
      </c>
      <c r="K520">
        <v>1660</v>
      </c>
      <c r="L520" t="s">
        <v>73</v>
      </c>
      <c r="M520" t="s">
        <v>37</v>
      </c>
      <c r="N520" t="s">
        <v>55</v>
      </c>
      <c r="O520" t="s">
        <v>46</v>
      </c>
      <c r="P520" t="s">
        <v>38</v>
      </c>
      <c r="Q520">
        <v>5</v>
      </c>
      <c r="R520">
        <v>8</v>
      </c>
    </row>
    <row r="521" spans="1:18" x14ac:dyDescent="0.3">
      <c r="A521" t="s">
        <v>1300</v>
      </c>
      <c r="B521" t="s">
        <v>70</v>
      </c>
      <c r="C521" t="s">
        <v>76</v>
      </c>
      <c r="D521" t="s">
        <v>21</v>
      </c>
      <c r="E521" t="s">
        <v>1301</v>
      </c>
      <c r="F521">
        <v>2024</v>
      </c>
      <c r="G521" t="s">
        <v>145</v>
      </c>
      <c r="H521" t="s">
        <v>24</v>
      </c>
      <c r="I521" t="s">
        <v>25</v>
      </c>
      <c r="J521">
        <v>11.8</v>
      </c>
      <c r="K521">
        <v>3364</v>
      </c>
      <c r="L521" t="s">
        <v>26</v>
      </c>
      <c r="M521" t="s">
        <v>37</v>
      </c>
      <c r="N521" t="s">
        <v>55</v>
      </c>
      <c r="O521" t="s">
        <v>29</v>
      </c>
      <c r="P521" t="s">
        <v>74</v>
      </c>
      <c r="Q521">
        <v>7.6</v>
      </c>
      <c r="R521">
        <v>2</v>
      </c>
    </row>
    <row r="522" spans="1:18" x14ac:dyDescent="0.3">
      <c r="A522" t="s">
        <v>1302</v>
      </c>
      <c r="B522" t="s">
        <v>49</v>
      </c>
      <c r="C522" t="s">
        <v>76</v>
      </c>
      <c r="D522" t="s">
        <v>50</v>
      </c>
      <c r="E522" t="s">
        <v>1303</v>
      </c>
      <c r="F522">
        <v>2023</v>
      </c>
      <c r="G522" t="s">
        <v>741</v>
      </c>
      <c r="H522" t="s">
        <v>24</v>
      </c>
      <c r="I522" t="s">
        <v>25</v>
      </c>
      <c r="J522">
        <v>8.8000000000000007</v>
      </c>
      <c r="K522">
        <v>9337</v>
      </c>
      <c r="L522" t="s">
        <v>68</v>
      </c>
      <c r="M522" t="s">
        <v>80</v>
      </c>
      <c r="N522" t="s">
        <v>55</v>
      </c>
      <c r="O522" t="s">
        <v>29</v>
      </c>
      <c r="P522" t="s">
        <v>74</v>
      </c>
      <c r="Q522">
        <v>1.1000000000000001</v>
      </c>
      <c r="R522">
        <v>3</v>
      </c>
    </row>
    <row r="523" spans="1:18" x14ac:dyDescent="0.3">
      <c r="A523" t="s">
        <v>1304</v>
      </c>
      <c r="B523" t="s">
        <v>40</v>
      </c>
      <c r="C523" t="s">
        <v>20</v>
      </c>
      <c r="D523" t="s">
        <v>21</v>
      </c>
      <c r="E523" t="s">
        <v>1305</v>
      </c>
      <c r="F523">
        <v>2019</v>
      </c>
      <c r="G523" t="s">
        <v>386</v>
      </c>
      <c r="H523" t="s">
        <v>24</v>
      </c>
      <c r="I523" t="s">
        <v>53</v>
      </c>
      <c r="J523">
        <v>7.8</v>
      </c>
      <c r="K523">
        <v>24829</v>
      </c>
      <c r="L523" t="s">
        <v>26</v>
      </c>
      <c r="M523" t="s">
        <v>37</v>
      </c>
      <c r="N523" t="s">
        <v>55</v>
      </c>
      <c r="O523" t="s">
        <v>46</v>
      </c>
      <c r="P523" t="s">
        <v>38</v>
      </c>
      <c r="Q523">
        <v>9.4</v>
      </c>
      <c r="R523">
        <v>7</v>
      </c>
    </row>
    <row r="524" spans="1:18" x14ac:dyDescent="0.3">
      <c r="A524" t="s">
        <v>1306</v>
      </c>
      <c r="B524" t="s">
        <v>40</v>
      </c>
      <c r="C524" t="s">
        <v>112</v>
      </c>
      <c r="D524" t="s">
        <v>93</v>
      </c>
      <c r="E524" t="s">
        <v>1307</v>
      </c>
      <c r="F524">
        <v>2022</v>
      </c>
      <c r="G524" t="s">
        <v>560</v>
      </c>
      <c r="H524" t="s">
        <v>35</v>
      </c>
      <c r="I524" t="s">
        <v>100</v>
      </c>
      <c r="J524">
        <v>6.1</v>
      </c>
      <c r="K524">
        <v>22223</v>
      </c>
      <c r="L524" t="s">
        <v>101</v>
      </c>
      <c r="M524" t="s">
        <v>37</v>
      </c>
      <c r="N524" t="s">
        <v>55</v>
      </c>
      <c r="O524" t="s">
        <v>46</v>
      </c>
      <c r="P524" t="s">
        <v>38</v>
      </c>
      <c r="Q524">
        <v>7</v>
      </c>
      <c r="R524">
        <v>4</v>
      </c>
    </row>
    <row r="525" spans="1:18" x14ac:dyDescent="0.3">
      <c r="A525" t="s">
        <v>1308</v>
      </c>
      <c r="B525" t="s">
        <v>49</v>
      </c>
      <c r="C525" t="s">
        <v>20</v>
      </c>
      <c r="D525" t="s">
        <v>50</v>
      </c>
      <c r="E525" t="s">
        <v>1309</v>
      </c>
      <c r="F525">
        <v>2015</v>
      </c>
      <c r="G525" t="s">
        <v>803</v>
      </c>
      <c r="H525" t="s">
        <v>24</v>
      </c>
      <c r="I525" t="s">
        <v>61</v>
      </c>
      <c r="J525">
        <v>9.6</v>
      </c>
      <c r="K525">
        <v>25945</v>
      </c>
      <c r="L525" t="s">
        <v>36</v>
      </c>
      <c r="M525" t="s">
        <v>27</v>
      </c>
      <c r="N525" t="s">
        <v>55</v>
      </c>
      <c r="O525" t="s">
        <v>29</v>
      </c>
      <c r="P525" t="s">
        <v>30</v>
      </c>
      <c r="Q525">
        <v>2.6</v>
      </c>
      <c r="R525">
        <v>11</v>
      </c>
    </row>
    <row r="526" spans="1:18" x14ac:dyDescent="0.3">
      <c r="A526" t="s">
        <v>1310</v>
      </c>
      <c r="B526" t="s">
        <v>40</v>
      </c>
      <c r="C526" t="s">
        <v>32</v>
      </c>
      <c r="D526" t="s">
        <v>93</v>
      </c>
      <c r="E526" t="s">
        <v>1311</v>
      </c>
      <c r="F526">
        <v>2022</v>
      </c>
      <c r="G526" t="s">
        <v>715</v>
      </c>
      <c r="H526" t="s">
        <v>35</v>
      </c>
      <c r="I526" t="s">
        <v>100</v>
      </c>
      <c r="J526">
        <v>15.3</v>
      </c>
      <c r="K526">
        <v>37617</v>
      </c>
      <c r="L526" t="s">
        <v>101</v>
      </c>
      <c r="M526" t="s">
        <v>80</v>
      </c>
      <c r="N526" t="s">
        <v>55</v>
      </c>
      <c r="O526" t="s">
        <v>118</v>
      </c>
      <c r="P526" t="s">
        <v>30</v>
      </c>
      <c r="Q526">
        <v>1.6</v>
      </c>
      <c r="R526">
        <v>4</v>
      </c>
    </row>
    <row r="527" spans="1:18" x14ac:dyDescent="0.3">
      <c r="A527" t="s">
        <v>1312</v>
      </c>
      <c r="B527" t="s">
        <v>58</v>
      </c>
      <c r="C527" t="s">
        <v>20</v>
      </c>
      <c r="D527" t="s">
        <v>77</v>
      </c>
      <c r="E527" t="s">
        <v>1313</v>
      </c>
      <c r="F527">
        <v>2016</v>
      </c>
      <c r="G527" t="s">
        <v>1042</v>
      </c>
      <c r="H527" t="s">
        <v>35</v>
      </c>
      <c r="I527" t="s">
        <v>61</v>
      </c>
      <c r="J527">
        <v>14.8</v>
      </c>
      <c r="K527">
        <v>40667</v>
      </c>
      <c r="L527" t="s">
        <v>45</v>
      </c>
      <c r="M527" t="s">
        <v>37</v>
      </c>
      <c r="N527" t="s">
        <v>28</v>
      </c>
      <c r="O527" t="s">
        <v>46</v>
      </c>
      <c r="P527" t="s">
        <v>86</v>
      </c>
      <c r="Q527">
        <v>0.8</v>
      </c>
      <c r="R527">
        <v>10</v>
      </c>
    </row>
    <row r="528" spans="1:18" x14ac:dyDescent="0.3">
      <c r="A528" t="s">
        <v>1314</v>
      </c>
      <c r="B528" t="s">
        <v>40</v>
      </c>
      <c r="C528" t="s">
        <v>64</v>
      </c>
      <c r="D528" t="s">
        <v>65</v>
      </c>
      <c r="E528" t="s">
        <v>1315</v>
      </c>
      <c r="F528">
        <v>2015</v>
      </c>
      <c r="G528" t="s">
        <v>715</v>
      </c>
      <c r="H528" t="s">
        <v>24</v>
      </c>
      <c r="I528" t="s">
        <v>61</v>
      </c>
      <c r="J528">
        <v>4.2</v>
      </c>
      <c r="K528">
        <v>6651</v>
      </c>
      <c r="L528" t="s">
        <v>36</v>
      </c>
      <c r="M528" t="s">
        <v>80</v>
      </c>
      <c r="N528" t="s">
        <v>28</v>
      </c>
      <c r="O528" t="s">
        <v>29</v>
      </c>
      <c r="P528" t="s">
        <v>47</v>
      </c>
      <c r="Q528">
        <v>7.7</v>
      </c>
      <c r="R528">
        <v>11</v>
      </c>
    </row>
    <row r="529" spans="1:18" x14ac:dyDescent="0.3">
      <c r="A529" t="s">
        <v>1316</v>
      </c>
      <c r="B529" t="s">
        <v>19</v>
      </c>
      <c r="C529" t="s">
        <v>112</v>
      </c>
      <c r="D529" t="s">
        <v>50</v>
      </c>
      <c r="E529" t="s">
        <v>1317</v>
      </c>
      <c r="F529">
        <v>2014</v>
      </c>
      <c r="G529" t="s">
        <v>444</v>
      </c>
      <c r="H529" t="s">
        <v>35</v>
      </c>
      <c r="I529" t="s">
        <v>100</v>
      </c>
      <c r="J529">
        <v>1.5</v>
      </c>
      <c r="K529">
        <v>9293</v>
      </c>
      <c r="L529" t="s">
        <v>68</v>
      </c>
      <c r="M529" t="s">
        <v>80</v>
      </c>
      <c r="N529" t="s">
        <v>28</v>
      </c>
      <c r="O529" t="s">
        <v>118</v>
      </c>
      <c r="P529" t="s">
        <v>38</v>
      </c>
      <c r="Q529">
        <v>0.6</v>
      </c>
      <c r="R529">
        <v>12</v>
      </c>
    </row>
    <row r="530" spans="1:18" x14ac:dyDescent="0.3">
      <c r="A530" t="s">
        <v>1318</v>
      </c>
      <c r="B530" t="s">
        <v>19</v>
      </c>
      <c r="C530" t="s">
        <v>32</v>
      </c>
      <c r="D530" t="s">
        <v>21</v>
      </c>
      <c r="E530" t="s">
        <v>1319</v>
      </c>
      <c r="F530">
        <v>2015</v>
      </c>
      <c r="G530" t="s">
        <v>148</v>
      </c>
      <c r="H530" t="s">
        <v>35</v>
      </c>
      <c r="I530" t="s">
        <v>61</v>
      </c>
      <c r="J530">
        <v>3.7</v>
      </c>
      <c r="K530">
        <v>24538</v>
      </c>
      <c r="L530" t="s">
        <v>26</v>
      </c>
      <c r="M530" t="s">
        <v>80</v>
      </c>
      <c r="N530" t="s">
        <v>28</v>
      </c>
      <c r="O530" t="s">
        <v>46</v>
      </c>
      <c r="P530" t="s">
        <v>86</v>
      </c>
      <c r="Q530">
        <v>9.5</v>
      </c>
      <c r="R530">
        <v>11</v>
      </c>
    </row>
    <row r="531" spans="1:18" x14ac:dyDescent="0.3">
      <c r="A531" t="s">
        <v>1320</v>
      </c>
      <c r="B531" t="s">
        <v>40</v>
      </c>
      <c r="C531" t="s">
        <v>32</v>
      </c>
      <c r="D531" t="s">
        <v>50</v>
      </c>
      <c r="E531" t="s">
        <v>1321</v>
      </c>
      <c r="F531">
        <v>2019</v>
      </c>
      <c r="G531" t="s">
        <v>1183</v>
      </c>
      <c r="H531" t="s">
        <v>35</v>
      </c>
      <c r="I531" t="s">
        <v>61</v>
      </c>
      <c r="J531">
        <v>9.3000000000000007</v>
      </c>
      <c r="K531">
        <v>5978</v>
      </c>
      <c r="L531" t="s">
        <v>26</v>
      </c>
      <c r="M531" t="s">
        <v>80</v>
      </c>
      <c r="N531" t="s">
        <v>62</v>
      </c>
      <c r="O531" t="s">
        <v>29</v>
      </c>
      <c r="P531" t="s">
        <v>38</v>
      </c>
      <c r="Q531">
        <v>2.2999999999999998</v>
      </c>
      <c r="R531">
        <v>7</v>
      </c>
    </row>
    <row r="532" spans="1:18" x14ac:dyDescent="0.3">
      <c r="A532" t="s">
        <v>1322</v>
      </c>
      <c r="B532" t="s">
        <v>49</v>
      </c>
      <c r="C532" t="s">
        <v>112</v>
      </c>
      <c r="D532" t="s">
        <v>65</v>
      </c>
      <c r="E532" t="s">
        <v>1323</v>
      </c>
      <c r="F532">
        <v>2018</v>
      </c>
      <c r="G532" t="s">
        <v>1066</v>
      </c>
      <c r="H532" t="s">
        <v>24</v>
      </c>
      <c r="I532" t="s">
        <v>61</v>
      </c>
      <c r="J532">
        <v>16.600000000000001</v>
      </c>
      <c r="K532">
        <v>32610</v>
      </c>
      <c r="L532" t="s">
        <v>68</v>
      </c>
      <c r="M532" t="s">
        <v>54</v>
      </c>
      <c r="N532" t="s">
        <v>55</v>
      </c>
      <c r="O532" t="s">
        <v>46</v>
      </c>
      <c r="P532" t="s">
        <v>30</v>
      </c>
      <c r="Q532">
        <v>2.2000000000000002</v>
      </c>
      <c r="R532">
        <v>8</v>
      </c>
    </row>
    <row r="533" spans="1:18" x14ac:dyDescent="0.3">
      <c r="A533" t="s">
        <v>1324</v>
      </c>
      <c r="B533" t="s">
        <v>58</v>
      </c>
      <c r="C533" t="s">
        <v>64</v>
      </c>
      <c r="D533" t="s">
        <v>93</v>
      </c>
      <c r="E533" t="s">
        <v>1325</v>
      </c>
      <c r="F533">
        <v>2019</v>
      </c>
      <c r="G533" t="s">
        <v>1168</v>
      </c>
      <c r="H533" t="s">
        <v>24</v>
      </c>
      <c r="I533" t="s">
        <v>44</v>
      </c>
      <c r="J533">
        <v>13.8</v>
      </c>
      <c r="K533">
        <v>22096</v>
      </c>
      <c r="L533" t="s">
        <v>26</v>
      </c>
      <c r="M533" t="s">
        <v>27</v>
      </c>
      <c r="N533" t="s">
        <v>28</v>
      </c>
      <c r="O533" t="s">
        <v>46</v>
      </c>
      <c r="P533" t="s">
        <v>56</v>
      </c>
      <c r="Q533">
        <v>5.2</v>
      </c>
      <c r="R533">
        <v>7</v>
      </c>
    </row>
    <row r="534" spans="1:18" x14ac:dyDescent="0.3">
      <c r="A534" t="s">
        <v>1326</v>
      </c>
      <c r="B534" t="s">
        <v>70</v>
      </c>
      <c r="C534" t="s">
        <v>32</v>
      </c>
      <c r="D534" t="s">
        <v>65</v>
      </c>
      <c r="E534" t="s">
        <v>1327</v>
      </c>
      <c r="F534">
        <v>2019</v>
      </c>
      <c r="G534" t="s">
        <v>635</v>
      </c>
      <c r="H534" t="s">
        <v>24</v>
      </c>
      <c r="I534" t="s">
        <v>53</v>
      </c>
      <c r="J534">
        <v>9.1</v>
      </c>
      <c r="K534">
        <v>26717</v>
      </c>
      <c r="L534" t="s">
        <v>68</v>
      </c>
      <c r="M534" t="s">
        <v>27</v>
      </c>
      <c r="N534" t="s">
        <v>62</v>
      </c>
      <c r="O534" t="s">
        <v>46</v>
      </c>
      <c r="P534" t="s">
        <v>86</v>
      </c>
      <c r="Q534">
        <v>7</v>
      </c>
      <c r="R534">
        <v>7</v>
      </c>
    </row>
    <row r="535" spans="1:18" x14ac:dyDescent="0.3">
      <c r="A535" t="s">
        <v>1328</v>
      </c>
      <c r="B535" t="s">
        <v>49</v>
      </c>
      <c r="C535" t="s">
        <v>76</v>
      </c>
      <c r="D535" t="s">
        <v>77</v>
      </c>
      <c r="E535" t="s">
        <v>1329</v>
      </c>
      <c r="F535">
        <v>2021</v>
      </c>
      <c r="G535" t="s">
        <v>151</v>
      </c>
      <c r="H535" t="s">
        <v>96</v>
      </c>
      <c r="I535" t="s">
        <v>85</v>
      </c>
      <c r="J535">
        <v>3.8</v>
      </c>
      <c r="K535">
        <v>6061</v>
      </c>
      <c r="L535" t="s">
        <v>36</v>
      </c>
      <c r="M535" t="s">
        <v>37</v>
      </c>
      <c r="N535" t="s">
        <v>28</v>
      </c>
      <c r="O535" t="s">
        <v>29</v>
      </c>
      <c r="P535" t="s">
        <v>38</v>
      </c>
      <c r="Q535">
        <v>5.2</v>
      </c>
      <c r="R535">
        <v>5</v>
      </c>
    </row>
    <row r="536" spans="1:18" x14ac:dyDescent="0.3">
      <c r="A536" t="s">
        <v>1330</v>
      </c>
      <c r="B536" t="s">
        <v>58</v>
      </c>
      <c r="C536" t="s">
        <v>32</v>
      </c>
      <c r="D536" t="s">
        <v>65</v>
      </c>
      <c r="E536" t="s">
        <v>1331</v>
      </c>
      <c r="F536">
        <v>2015</v>
      </c>
      <c r="G536" t="s">
        <v>272</v>
      </c>
      <c r="H536" t="s">
        <v>35</v>
      </c>
      <c r="I536" t="s">
        <v>44</v>
      </c>
      <c r="J536">
        <v>3</v>
      </c>
      <c r="K536">
        <v>27755</v>
      </c>
      <c r="L536" t="s">
        <v>101</v>
      </c>
      <c r="M536" t="s">
        <v>80</v>
      </c>
      <c r="N536" t="s">
        <v>62</v>
      </c>
      <c r="O536" t="s">
        <v>29</v>
      </c>
      <c r="P536" t="s">
        <v>30</v>
      </c>
      <c r="Q536">
        <v>4</v>
      </c>
      <c r="R536">
        <v>11</v>
      </c>
    </row>
    <row r="537" spans="1:18" x14ac:dyDescent="0.3">
      <c r="A537" t="s">
        <v>1332</v>
      </c>
      <c r="B537" t="s">
        <v>40</v>
      </c>
      <c r="C537" t="s">
        <v>32</v>
      </c>
      <c r="D537" t="s">
        <v>50</v>
      </c>
      <c r="E537" t="s">
        <v>1333</v>
      </c>
      <c r="F537">
        <v>2017</v>
      </c>
      <c r="G537" t="s">
        <v>1142</v>
      </c>
      <c r="H537" t="s">
        <v>96</v>
      </c>
      <c r="I537" t="s">
        <v>44</v>
      </c>
      <c r="J537">
        <v>4.5999999999999996</v>
      </c>
      <c r="K537">
        <v>29333</v>
      </c>
      <c r="L537" t="s">
        <v>101</v>
      </c>
      <c r="M537" t="s">
        <v>27</v>
      </c>
      <c r="N537" t="s">
        <v>55</v>
      </c>
      <c r="O537" t="s">
        <v>46</v>
      </c>
      <c r="P537" t="s">
        <v>74</v>
      </c>
      <c r="Q537">
        <v>6.1</v>
      </c>
      <c r="R537">
        <v>9</v>
      </c>
    </row>
    <row r="538" spans="1:18" x14ac:dyDescent="0.3">
      <c r="A538" t="s">
        <v>1334</v>
      </c>
      <c r="B538" t="s">
        <v>70</v>
      </c>
      <c r="C538" t="s">
        <v>76</v>
      </c>
      <c r="D538" t="s">
        <v>65</v>
      </c>
      <c r="E538" t="s">
        <v>1335</v>
      </c>
      <c r="F538">
        <v>2024</v>
      </c>
      <c r="G538" t="s">
        <v>326</v>
      </c>
      <c r="H538" t="s">
        <v>35</v>
      </c>
      <c r="I538" t="s">
        <v>85</v>
      </c>
      <c r="J538">
        <v>17.8</v>
      </c>
      <c r="K538">
        <v>35016</v>
      </c>
      <c r="L538" t="s">
        <v>68</v>
      </c>
      <c r="M538" t="s">
        <v>54</v>
      </c>
      <c r="N538" t="s">
        <v>55</v>
      </c>
      <c r="O538" t="s">
        <v>29</v>
      </c>
      <c r="P538" t="s">
        <v>30</v>
      </c>
      <c r="Q538">
        <v>2.9</v>
      </c>
      <c r="R538">
        <v>2</v>
      </c>
    </row>
    <row r="539" spans="1:18" x14ac:dyDescent="0.3">
      <c r="A539" t="s">
        <v>1336</v>
      </c>
      <c r="B539" t="s">
        <v>40</v>
      </c>
      <c r="C539" t="s">
        <v>112</v>
      </c>
      <c r="D539" t="s">
        <v>41</v>
      </c>
      <c r="E539" t="s">
        <v>1337</v>
      </c>
      <c r="F539">
        <v>2021</v>
      </c>
      <c r="G539" t="s">
        <v>573</v>
      </c>
      <c r="H539" t="s">
        <v>35</v>
      </c>
      <c r="I539" t="s">
        <v>44</v>
      </c>
      <c r="J539">
        <v>9.1999999999999993</v>
      </c>
      <c r="K539">
        <v>3253</v>
      </c>
      <c r="L539" t="s">
        <v>73</v>
      </c>
      <c r="M539" t="s">
        <v>27</v>
      </c>
      <c r="N539" t="s">
        <v>62</v>
      </c>
      <c r="O539" t="s">
        <v>46</v>
      </c>
      <c r="P539" t="s">
        <v>86</v>
      </c>
      <c r="Q539">
        <v>2</v>
      </c>
      <c r="R539">
        <v>5</v>
      </c>
    </row>
    <row r="540" spans="1:18" x14ac:dyDescent="0.3">
      <c r="A540" t="s">
        <v>1338</v>
      </c>
      <c r="B540" t="s">
        <v>19</v>
      </c>
      <c r="C540" t="s">
        <v>112</v>
      </c>
      <c r="D540" t="s">
        <v>65</v>
      </c>
      <c r="E540" t="s">
        <v>1339</v>
      </c>
      <c r="F540">
        <v>2023</v>
      </c>
      <c r="G540" t="s">
        <v>815</v>
      </c>
      <c r="H540" t="s">
        <v>35</v>
      </c>
      <c r="I540" t="s">
        <v>85</v>
      </c>
      <c r="J540">
        <v>14.4</v>
      </c>
      <c r="K540">
        <v>14733</v>
      </c>
      <c r="L540" t="s">
        <v>68</v>
      </c>
      <c r="M540" t="s">
        <v>27</v>
      </c>
      <c r="N540" t="s">
        <v>55</v>
      </c>
      <c r="O540" t="s">
        <v>46</v>
      </c>
      <c r="P540" t="s">
        <v>86</v>
      </c>
      <c r="Q540">
        <v>5.7</v>
      </c>
      <c r="R540">
        <v>3</v>
      </c>
    </row>
    <row r="541" spans="1:18" x14ac:dyDescent="0.3">
      <c r="A541" t="s">
        <v>1340</v>
      </c>
      <c r="B541" t="s">
        <v>19</v>
      </c>
      <c r="C541" t="s">
        <v>112</v>
      </c>
      <c r="D541" t="s">
        <v>82</v>
      </c>
      <c r="E541" t="s">
        <v>1341</v>
      </c>
      <c r="F541">
        <v>2022</v>
      </c>
      <c r="G541" t="s">
        <v>568</v>
      </c>
      <c r="H541" t="s">
        <v>96</v>
      </c>
      <c r="I541" t="s">
        <v>44</v>
      </c>
      <c r="J541">
        <v>7.2</v>
      </c>
      <c r="K541">
        <v>22114</v>
      </c>
      <c r="L541" t="s">
        <v>36</v>
      </c>
      <c r="M541" t="s">
        <v>27</v>
      </c>
      <c r="N541" t="s">
        <v>55</v>
      </c>
      <c r="O541" t="s">
        <v>29</v>
      </c>
      <c r="P541" t="s">
        <v>30</v>
      </c>
      <c r="Q541">
        <v>2.2000000000000002</v>
      </c>
      <c r="R541">
        <v>4</v>
      </c>
    </row>
    <row r="542" spans="1:18" x14ac:dyDescent="0.3">
      <c r="A542" t="s">
        <v>1342</v>
      </c>
      <c r="B542" t="s">
        <v>70</v>
      </c>
      <c r="C542" t="s">
        <v>64</v>
      </c>
      <c r="D542" t="s">
        <v>82</v>
      </c>
      <c r="E542" t="s">
        <v>1343</v>
      </c>
      <c r="F542">
        <v>2024</v>
      </c>
      <c r="G542" t="s">
        <v>698</v>
      </c>
      <c r="H542" t="s">
        <v>24</v>
      </c>
      <c r="I542" t="s">
        <v>53</v>
      </c>
      <c r="J542">
        <v>13</v>
      </c>
      <c r="K542">
        <v>33445</v>
      </c>
      <c r="L542" t="s">
        <v>26</v>
      </c>
      <c r="M542" t="s">
        <v>27</v>
      </c>
      <c r="N542" t="s">
        <v>62</v>
      </c>
      <c r="O542" t="s">
        <v>46</v>
      </c>
      <c r="P542" t="s">
        <v>38</v>
      </c>
      <c r="Q542">
        <v>5.6</v>
      </c>
      <c r="R542">
        <v>2</v>
      </c>
    </row>
    <row r="543" spans="1:18" x14ac:dyDescent="0.3">
      <c r="A543" t="s">
        <v>1344</v>
      </c>
      <c r="B543" t="s">
        <v>49</v>
      </c>
      <c r="C543" t="s">
        <v>64</v>
      </c>
      <c r="D543" t="s">
        <v>93</v>
      </c>
      <c r="E543" t="s">
        <v>1345</v>
      </c>
      <c r="F543">
        <v>2021</v>
      </c>
      <c r="G543" t="s">
        <v>987</v>
      </c>
      <c r="H543" t="s">
        <v>24</v>
      </c>
      <c r="I543" t="s">
        <v>53</v>
      </c>
      <c r="J543">
        <v>9.1999999999999993</v>
      </c>
      <c r="K543">
        <v>26259</v>
      </c>
      <c r="L543" t="s">
        <v>45</v>
      </c>
      <c r="M543" t="s">
        <v>37</v>
      </c>
      <c r="N543" t="s">
        <v>55</v>
      </c>
      <c r="O543" t="s">
        <v>118</v>
      </c>
      <c r="P543" t="s">
        <v>30</v>
      </c>
      <c r="Q543">
        <v>0.8</v>
      </c>
      <c r="R543">
        <v>5</v>
      </c>
    </row>
    <row r="544" spans="1:18" x14ac:dyDescent="0.3">
      <c r="A544" t="s">
        <v>1346</v>
      </c>
      <c r="B544" t="s">
        <v>70</v>
      </c>
      <c r="C544" t="s">
        <v>20</v>
      </c>
      <c r="D544" t="s">
        <v>50</v>
      </c>
      <c r="E544" t="s">
        <v>1347</v>
      </c>
      <c r="F544">
        <v>2014</v>
      </c>
      <c r="G544" t="s">
        <v>1171</v>
      </c>
      <c r="H544" t="s">
        <v>35</v>
      </c>
      <c r="I544" t="s">
        <v>44</v>
      </c>
      <c r="J544">
        <v>13.9</v>
      </c>
      <c r="K544">
        <v>42470</v>
      </c>
      <c r="L544" t="s">
        <v>68</v>
      </c>
      <c r="M544" t="s">
        <v>27</v>
      </c>
      <c r="N544" t="s">
        <v>28</v>
      </c>
      <c r="O544" t="s">
        <v>118</v>
      </c>
      <c r="P544" t="s">
        <v>86</v>
      </c>
      <c r="Q544">
        <v>9.9</v>
      </c>
      <c r="R544">
        <v>12</v>
      </c>
    </row>
    <row r="545" spans="1:18" x14ac:dyDescent="0.3">
      <c r="A545" t="s">
        <v>1348</v>
      </c>
      <c r="B545" t="s">
        <v>19</v>
      </c>
      <c r="C545" t="s">
        <v>64</v>
      </c>
      <c r="D545" t="s">
        <v>21</v>
      </c>
      <c r="E545" t="s">
        <v>1349</v>
      </c>
      <c r="F545">
        <v>2020</v>
      </c>
      <c r="G545" t="s">
        <v>357</v>
      </c>
      <c r="H545" t="s">
        <v>24</v>
      </c>
      <c r="I545" t="s">
        <v>53</v>
      </c>
      <c r="J545">
        <v>10.9</v>
      </c>
      <c r="K545">
        <v>5792</v>
      </c>
      <c r="L545" t="s">
        <v>68</v>
      </c>
      <c r="M545" t="s">
        <v>80</v>
      </c>
      <c r="N545" t="s">
        <v>55</v>
      </c>
      <c r="O545" t="s">
        <v>29</v>
      </c>
      <c r="P545" t="s">
        <v>30</v>
      </c>
      <c r="Q545">
        <v>5.6</v>
      </c>
      <c r="R545">
        <v>6</v>
      </c>
    </row>
    <row r="546" spans="1:18" x14ac:dyDescent="0.3">
      <c r="A546" t="s">
        <v>1350</v>
      </c>
      <c r="B546" t="s">
        <v>58</v>
      </c>
      <c r="C546" t="s">
        <v>32</v>
      </c>
      <c r="D546" t="s">
        <v>93</v>
      </c>
      <c r="E546" t="s">
        <v>1351</v>
      </c>
      <c r="F546">
        <v>2014</v>
      </c>
      <c r="G546" t="s">
        <v>501</v>
      </c>
      <c r="H546" t="s">
        <v>96</v>
      </c>
      <c r="I546" t="s">
        <v>53</v>
      </c>
      <c r="J546">
        <v>0.9</v>
      </c>
      <c r="K546">
        <v>32282</v>
      </c>
      <c r="L546" t="s">
        <v>45</v>
      </c>
      <c r="M546" t="s">
        <v>80</v>
      </c>
      <c r="N546" t="s">
        <v>55</v>
      </c>
      <c r="O546" t="s">
        <v>118</v>
      </c>
      <c r="P546" t="s">
        <v>74</v>
      </c>
      <c r="Q546">
        <v>4.2</v>
      </c>
      <c r="R546">
        <v>12</v>
      </c>
    </row>
    <row r="547" spans="1:18" x14ac:dyDescent="0.3">
      <c r="A547" t="s">
        <v>1352</v>
      </c>
      <c r="B547" t="s">
        <v>58</v>
      </c>
      <c r="C547" t="s">
        <v>112</v>
      </c>
      <c r="D547" t="s">
        <v>65</v>
      </c>
      <c r="E547" t="s">
        <v>1353</v>
      </c>
      <c r="F547">
        <v>2023</v>
      </c>
      <c r="G547" t="s">
        <v>117</v>
      </c>
      <c r="H547" t="s">
        <v>35</v>
      </c>
      <c r="I547" t="s">
        <v>53</v>
      </c>
      <c r="J547">
        <v>9.1999999999999993</v>
      </c>
      <c r="K547">
        <v>23752</v>
      </c>
      <c r="L547" t="s">
        <v>73</v>
      </c>
      <c r="M547" t="s">
        <v>37</v>
      </c>
      <c r="N547" t="s">
        <v>55</v>
      </c>
      <c r="O547" t="s">
        <v>118</v>
      </c>
      <c r="P547" t="s">
        <v>56</v>
      </c>
      <c r="Q547">
        <v>5.2</v>
      </c>
      <c r="R547">
        <v>3</v>
      </c>
    </row>
    <row r="548" spans="1:18" x14ac:dyDescent="0.3">
      <c r="A548" t="s">
        <v>1354</v>
      </c>
      <c r="B548" t="s">
        <v>40</v>
      </c>
      <c r="C548" t="s">
        <v>20</v>
      </c>
      <c r="D548" t="s">
        <v>77</v>
      </c>
      <c r="E548" t="s">
        <v>1355</v>
      </c>
      <c r="F548">
        <v>2015</v>
      </c>
      <c r="G548" t="s">
        <v>667</v>
      </c>
      <c r="H548" t="s">
        <v>24</v>
      </c>
      <c r="I548" t="s">
        <v>100</v>
      </c>
      <c r="J548">
        <v>7.5</v>
      </c>
      <c r="K548">
        <v>16303</v>
      </c>
      <c r="L548" t="s">
        <v>45</v>
      </c>
      <c r="M548" t="s">
        <v>80</v>
      </c>
      <c r="N548" t="s">
        <v>62</v>
      </c>
      <c r="O548" t="s">
        <v>46</v>
      </c>
      <c r="P548" t="s">
        <v>30</v>
      </c>
      <c r="Q548">
        <v>6.1</v>
      </c>
      <c r="R548">
        <v>11</v>
      </c>
    </row>
    <row r="549" spans="1:18" x14ac:dyDescent="0.3">
      <c r="A549" t="s">
        <v>1356</v>
      </c>
      <c r="B549" t="s">
        <v>49</v>
      </c>
      <c r="C549" t="s">
        <v>32</v>
      </c>
      <c r="D549" t="s">
        <v>82</v>
      </c>
      <c r="E549" t="s">
        <v>1357</v>
      </c>
      <c r="F549">
        <v>2018</v>
      </c>
      <c r="G549" t="s">
        <v>107</v>
      </c>
      <c r="H549" t="s">
        <v>24</v>
      </c>
      <c r="I549" t="s">
        <v>53</v>
      </c>
      <c r="J549">
        <v>14.4</v>
      </c>
      <c r="K549">
        <v>44199</v>
      </c>
      <c r="L549" t="s">
        <v>68</v>
      </c>
      <c r="M549" t="s">
        <v>37</v>
      </c>
      <c r="N549" t="s">
        <v>55</v>
      </c>
      <c r="O549" t="s">
        <v>46</v>
      </c>
      <c r="P549" t="s">
        <v>74</v>
      </c>
      <c r="Q549">
        <v>3.5</v>
      </c>
      <c r="R549">
        <v>8</v>
      </c>
    </row>
    <row r="550" spans="1:18" x14ac:dyDescent="0.3">
      <c r="A550" t="s">
        <v>1358</v>
      </c>
      <c r="B550" t="s">
        <v>70</v>
      </c>
      <c r="C550" t="s">
        <v>32</v>
      </c>
      <c r="D550" t="s">
        <v>93</v>
      </c>
      <c r="E550" t="s">
        <v>1359</v>
      </c>
      <c r="F550">
        <v>2020</v>
      </c>
      <c r="G550" t="s">
        <v>326</v>
      </c>
      <c r="H550" t="s">
        <v>24</v>
      </c>
      <c r="I550" t="s">
        <v>100</v>
      </c>
      <c r="J550">
        <v>3.7</v>
      </c>
      <c r="K550">
        <v>2719</v>
      </c>
      <c r="L550" t="s">
        <v>101</v>
      </c>
      <c r="M550" t="s">
        <v>54</v>
      </c>
      <c r="N550" t="s">
        <v>62</v>
      </c>
      <c r="O550" t="s">
        <v>118</v>
      </c>
      <c r="P550" t="s">
        <v>56</v>
      </c>
      <c r="Q550">
        <v>6.8</v>
      </c>
      <c r="R550">
        <v>6</v>
      </c>
    </row>
    <row r="551" spans="1:18" x14ac:dyDescent="0.3">
      <c r="A551" t="s">
        <v>1360</v>
      </c>
      <c r="B551" t="s">
        <v>70</v>
      </c>
      <c r="C551" t="s">
        <v>32</v>
      </c>
      <c r="D551" t="s">
        <v>50</v>
      </c>
      <c r="E551" t="s">
        <v>1361</v>
      </c>
      <c r="F551">
        <v>2025</v>
      </c>
      <c r="G551" t="s">
        <v>783</v>
      </c>
      <c r="H551" t="s">
        <v>35</v>
      </c>
      <c r="I551" t="s">
        <v>85</v>
      </c>
      <c r="J551">
        <v>16.899999999999999</v>
      </c>
      <c r="K551">
        <v>42575</v>
      </c>
      <c r="L551" t="s">
        <v>26</v>
      </c>
      <c r="M551" t="s">
        <v>54</v>
      </c>
      <c r="N551" t="s">
        <v>55</v>
      </c>
      <c r="O551" t="s">
        <v>118</v>
      </c>
      <c r="P551" t="s">
        <v>56</v>
      </c>
      <c r="Q551">
        <v>2.8</v>
      </c>
      <c r="R551">
        <v>1</v>
      </c>
    </row>
    <row r="552" spans="1:18" x14ac:dyDescent="0.3">
      <c r="A552" t="s">
        <v>1362</v>
      </c>
      <c r="B552" t="s">
        <v>70</v>
      </c>
      <c r="C552" t="s">
        <v>76</v>
      </c>
      <c r="D552" t="s">
        <v>82</v>
      </c>
      <c r="E552" t="s">
        <v>1363</v>
      </c>
      <c r="F552">
        <v>2025</v>
      </c>
      <c r="G552" t="s">
        <v>275</v>
      </c>
      <c r="H552" t="s">
        <v>24</v>
      </c>
      <c r="I552" t="s">
        <v>44</v>
      </c>
      <c r="J552">
        <v>11.6</v>
      </c>
      <c r="K552">
        <v>28529</v>
      </c>
      <c r="L552" t="s">
        <v>68</v>
      </c>
      <c r="M552" t="s">
        <v>37</v>
      </c>
      <c r="N552" t="s">
        <v>62</v>
      </c>
      <c r="O552" t="s">
        <v>29</v>
      </c>
      <c r="P552" t="s">
        <v>86</v>
      </c>
      <c r="Q552">
        <v>7</v>
      </c>
      <c r="R552">
        <v>1</v>
      </c>
    </row>
    <row r="553" spans="1:18" x14ac:dyDescent="0.3">
      <c r="A553" t="s">
        <v>1364</v>
      </c>
      <c r="B553" t="s">
        <v>40</v>
      </c>
      <c r="C553" t="s">
        <v>112</v>
      </c>
      <c r="D553" t="s">
        <v>21</v>
      </c>
      <c r="E553" t="s">
        <v>1365</v>
      </c>
      <c r="F553">
        <v>2017</v>
      </c>
      <c r="G553" t="s">
        <v>421</v>
      </c>
      <c r="H553" t="s">
        <v>24</v>
      </c>
      <c r="I553" t="s">
        <v>61</v>
      </c>
      <c r="J553">
        <v>14.4</v>
      </c>
      <c r="K553">
        <v>21851</v>
      </c>
      <c r="L553" t="s">
        <v>36</v>
      </c>
      <c r="M553" t="s">
        <v>27</v>
      </c>
      <c r="N553" t="s">
        <v>62</v>
      </c>
      <c r="O553" t="s">
        <v>118</v>
      </c>
      <c r="P553" t="s">
        <v>47</v>
      </c>
      <c r="Q553">
        <v>6.6</v>
      </c>
      <c r="R553">
        <v>9</v>
      </c>
    </row>
    <row r="554" spans="1:18" x14ac:dyDescent="0.3">
      <c r="A554" t="s">
        <v>1366</v>
      </c>
      <c r="B554" t="s">
        <v>40</v>
      </c>
      <c r="C554" t="s">
        <v>20</v>
      </c>
      <c r="D554" t="s">
        <v>21</v>
      </c>
      <c r="E554" t="s">
        <v>1367</v>
      </c>
      <c r="F554">
        <v>2014</v>
      </c>
      <c r="G554" t="s">
        <v>926</v>
      </c>
      <c r="H554" t="s">
        <v>24</v>
      </c>
      <c r="I554" t="s">
        <v>53</v>
      </c>
      <c r="J554">
        <v>12</v>
      </c>
      <c r="K554">
        <v>13033</v>
      </c>
      <c r="L554" t="s">
        <v>101</v>
      </c>
      <c r="M554" t="s">
        <v>80</v>
      </c>
      <c r="N554" t="s">
        <v>62</v>
      </c>
      <c r="O554" t="s">
        <v>118</v>
      </c>
      <c r="P554" t="s">
        <v>30</v>
      </c>
      <c r="Q554">
        <v>1</v>
      </c>
      <c r="R554">
        <v>12</v>
      </c>
    </row>
    <row r="555" spans="1:18" x14ac:dyDescent="0.3">
      <c r="A555" t="s">
        <v>1368</v>
      </c>
      <c r="B555" t="s">
        <v>49</v>
      </c>
      <c r="C555" t="s">
        <v>20</v>
      </c>
      <c r="D555" t="s">
        <v>50</v>
      </c>
      <c r="E555" t="s">
        <v>1369</v>
      </c>
      <c r="F555">
        <v>2015</v>
      </c>
      <c r="G555" t="s">
        <v>427</v>
      </c>
      <c r="H555" t="s">
        <v>24</v>
      </c>
      <c r="I555" t="s">
        <v>85</v>
      </c>
      <c r="J555">
        <v>16.2</v>
      </c>
      <c r="K555">
        <v>44585</v>
      </c>
      <c r="L555" t="s">
        <v>26</v>
      </c>
      <c r="M555" t="s">
        <v>27</v>
      </c>
      <c r="N555" t="s">
        <v>62</v>
      </c>
      <c r="O555" t="s">
        <v>29</v>
      </c>
      <c r="P555" t="s">
        <v>56</v>
      </c>
      <c r="Q555">
        <v>1.6</v>
      </c>
      <c r="R555">
        <v>11</v>
      </c>
    </row>
    <row r="556" spans="1:18" x14ac:dyDescent="0.3">
      <c r="A556" t="s">
        <v>1370</v>
      </c>
      <c r="B556" t="s">
        <v>19</v>
      </c>
      <c r="C556" t="s">
        <v>32</v>
      </c>
      <c r="D556" t="s">
        <v>65</v>
      </c>
      <c r="E556" t="s">
        <v>1371</v>
      </c>
      <c r="F556">
        <v>2025</v>
      </c>
      <c r="G556" t="s">
        <v>1372</v>
      </c>
      <c r="H556" t="s">
        <v>35</v>
      </c>
      <c r="I556" t="s">
        <v>100</v>
      </c>
      <c r="J556">
        <v>4.9000000000000004</v>
      </c>
      <c r="K556">
        <v>7414</v>
      </c>
      <c r="L556" t="s">
        <v>73</v>
      </c>
      <c r="M556" t="s">
        <v>80</v>
      </c>
      <c r="N556" t="s">
        <v>55</v>
      </c>
      <c r="O556" t="s">
        <v>118</v>
      </c>
      <c r="P556" t="s">
        <v>74</v>
      </c>
      <c r="Q556">
        <v>7.5</v>
      </c>
      <c r="R556">
        <v>1</v>
      </c>
    </row>
    <row r="557" spans="1:18" x14ac:dyDescent="0.3">
      <c r="A557" t="s">
        <v>1373</v>
      </c>
      <c r="B557" t="s">
        <v>40</v>
      </c>
      <c r="C557" t="s">
        <v>76</v>
      </c>
      <c r="D557" t="s">
        <v>21</v>
      </c>
      <c r="E557" t="s">
        <v>1374</v>
      </c>
      <c r="F557">
        <v>2025</v>
      </c>
      <c r="G557" t="s">
        <v>315</v>
      </c>
      <c r="H557" t="s">
        <v>24</v>
      </c>
      <c r="I557" t="s">
        <v>61</v>
      </c>
      <c r="J557">
        <v>4.2</v>
      </c>
      <c r="K557">
        <v>19492</v>
      </c>
      <c r="L557" t="s">
        <v>36</v>
      </c>
      <c r="M557" t="s">
        <v>27</v>
      </c>
      <c r="N557" t="s">
        <v>55</v>
      </c>
      <c r="O557" t="s">
        <v>46</v>
      </c>
      <c r="P557" t="s">
        <v>30</v>
      </c>
      <c r="Q557">
        <v>5.2</v>
      </c>
      <c r="R557">
        <v>1</v>
      </c>
    </row>
    <row r="558" spans="1:18" x14ac:dyDescent="0.3">
      <c r="A558" t="s">
        <v>1375</v>
      </c>
      <c r="B558" t="s">
        <v>19</v>
      </c>
      <c r="C558" t="s">
        <v>20</v>
      </c>
      <c r="D558" t="s">
        <v>93</v>
      </c>
      <c r="E558" t="s">
        <v>1376</v>
      </c>
      <c r="F558">
        <v>2019</v>
      </c>
      <c r="G558" t="s">
        <v>212</v>
      </c>
      <c r="H558" t="s">
        <v>24</v>
      </c>
      <c r="I558" t="s">
        <v>25</v>
      </c>
      <c r="J558">
        <v>4.8</v>
      </c>
      <c r="K558">
        <v>19701</v>
      </c>
      <c r="L558" t="s">
        <v>73</v>
      </c>
      <c r="M558" t="s">
        <v>37</v>
      </c>
      <c r="N558" t="s">
        <v>55</v>
      </c>
      <c r="O558" t="s">
        <v>46</v>
      </c>
      <c r="P558" t="s">
        <v>86</v>
      </c>
      <c r="Q558">
        <v>8.3000000000000007</v>
      </c>
      <c r="R558">
        <v>7</v>
      </c>
    </row>
    <row r="559" spans="1:18" x14ac:dyDescent="0.3">
      <c r="A559" t="s">
        <v>1377</v>
      </c>
      <c r="B559" t="s">
        <v>49</v>
      </c>
      <c r="C559" t="s">
        <v>112</v>
      </c>
      <c r="D559" t="s">
        <v>50</v>
      </c>
      <c r="E559" t="s">
        <v>1378</v>
      </c>
      <c r="F559">
        <v>2014</v>
      </c>
      <c r="G559" t="s">
        <v>565</v>
      </c>
      <c r="H559" t="s">
        <v>35</v>
      </c>
      <c r="I559" t="s">
        <v>44</v>
      </c>
      <c r="J559">
        <v>12.6</v>
      </c>
      <c r="K559">
        <v>17207</v>
      </c>
      <c r="L559" t="s">
        <v>68</v>
      </c>
      <c r="M559" t="s">
        <v>27</v>
      </c>
      <c r="N559" t="s">
        <v>55</v>
      </c>
      <c r="O559" t="s">
        <v>46</v>
      </c>
      <c r="P559" t="s">
        <v>38</v>
      </c>
      <c r="Q559">
        <v>3.9</v>
      </c>
      <c r="R559">
        <v>12</v>
      </c>
    </row>
    <row r="560" spans="1:18" x14ac:dyDescent="0.3">
      <c r="A560" t="s">
        <v>1379</v>
      </c>
      <c r="B560" t="s">
        <v>49</v>
      </c>
      <c r="C560" t="s">
        <v>64</v>
      </c>
      <c r="D560" t="s">
        <v>50</v>
      </c>
      <c r="E560" t="s">
        <v>1380</v>
      </c>
      <c r="F560">
        <v>2024</v>
      </c>
      <c r="G560" t="s">
        <v>159</v>
      </c>
      <c r="H560" t="s">
        <v>24</v>
      </c>
      <c r="I560" t="s">
        <v>44</v>
      </c>
      <c r="J560">
        <v>16.399999999999999</v>
      </c>
      <c r="K560">
        <v>27254</v>
      </c>
      <c r="L560" t="s">
        <v>68</v>
      </c>
      <c r="M560" t="s">
        <v>37</v>
      </c>
      <c r="N560" t="s">
        <v>28</v>
      </c>
      <c r="O560" t="s">
        <v>29</v>
      </c>
      <c r="P560" t="s">
        <v>86</v>
      </c>
      <c r="Q560">
        <v>2.5</v>
      </c>
      <c r="R560">
        <v>2</v>
      </c>
    </row>
    <row r="561" spans="1:18" x14ac:dyDescent="0.3">
      <c r="A561" t="s">
        <v>1381</v>
      </c>
      <c r="B561" t="s">
        <v>70</v>
      </c>
      <c r="C561" t="s">
        <v>76</v>
      </c>
      <c r="D561" t="s">
        <v>50</v>
      </c>
      <c r="E561" t="s">
        <v>1382</v>
      </c>
      <c r="F561">
        <v>2016</v>
      </c>
      <c r="G561" t="s">
        <v>225</v>
      </c>
      <c r="H561" t="s">
        <v>24</v>
      </c>
      <c r="I561" t="s">
        <v>44</v>
      </c>
      <c r="J561">
        <v>14.9</v>
      </c>
      <c r="K561">
        <v>33723</v>
      </c>
      <c r="L561" t="s">
        <v>36</v>
      </c>
      <c r="M561" t="s">
        <v>27</v>
      </c>
      <c r="N561" t="s">
        <v>55</v>
      </c>
      <c r="O561" t="s">
        <v>46</v>
      </c>
      <c r="P561" t="s">
        <v>47</v>
      </c>
      <c r="Q561">
        <v>8.8000000000000007</v>
      </c>
      <c r="R561">
        <v>10</v>
      </c>
    </row>
    <row r="562" spans="1:18" x14ac:dyDescent="0.3">
      <c r="A562" t="s">
        <v>1383</v>
      </c>
      <c r="B562" t="s">
        <v>70</v>
      </c>
      <c r="C562" t="s">
        <v>32</v>
      </c>
      <c r="D562" t="s">
        <v>41</v>
      </c>
      <c r="E562" t="s">
        <v>1384</v>
      </c>
      <c r="F562">
        <v>2015</v>
      </c>
      <c r="G562" t="s">
        <v>941</v>
      </c>
      <c r="H562" t="s">
        <v>24</v>
      </c>
      <c r="I562" t="s">
        <v>100</v>
      </c>
      <c r="J562">
        <v>13.3</v>
      </c>
      <c r="K562">
        <v>37395</v>
      </c>
      <c r="L562" t="s">
        <v>101</v>
      </c>
      <c r="M562" t="s">
        <v>37</v>
      </c>
      <c r="N562" t="s">
        <v>55</v>
      </c>
      <c r="O562" t="s">
        <v>46</v>
      </c>
      <c r="P562" t="s">
        <v>30</v>
      </c>
      <c r="Q562">
        <v>7.7</v>
      </c>
      <c r="R562">
        <v>11</v>
      </c>
    </row>
    <row r="563" spans="1:18" x14ac:dyDescent="0.3">
      <c r="A563" t="s">
        <v>1385</v>
      </c>
      <c r="B563" t="s">
        <v>40</v>
      </c>
      <c r="C563" t="s">
        <v>76</v>
      </c>
      <c r="D563" t="s">
        <v>50</v>
      </c>
      <c r="E563" t="s">
        <v>1386</v>
      </c>
      <c r="F563">
        <v>2024</v>
      </c>
      <c r="G563" t="s">
        <v>1289</v>
      </c>
      <c r="H563" t="s">
        <v>35</v>
      </c>
      <c r="I563" t="s">
        <v>44</v>
      </c>
      <c r="J563">
        <v>7.5</v>
      </c>
      <c r="K563">
        <v>42676</v>
      </c>
      <c r="L563" t="s">
        <v>68</v>
      </c>
      <c r="M563" t="s">
        <v>37</v>
      </c>
      <c r="N563" t="s">
        <v>62</v>
      </c>
      <c r="O563" t="s">
        <v>29</v>
      </c>
      <c r="P563" t="s">
        <v>30</v>
      </c>
      <c r="Q563">
        <v>2</v>
      </c>
      <c r="R563">
        <v>2</v>
      </c>
    </row>
    <row r="564" spans="1:18" x14ac:dyDescent="0.3">
      <c r="A564" t="s">
        <v>1387</v>
      </c>
      <c r="B564" t="s">
        <v>40</v>
      </c>
      <c r="C564" t="s">
        <v>32</v>
      </c>
      <c r="D564" t="s">
        <v>65</v>
      </c>
      <c r="E564" t="s">
        <v>1388</v>
      </c>
      <c r="F564">
        <v>2022</v>
      </c>
      <c r="G564" t="s">
        <v>1098</v>
      </c>
      <c r="H564" t="s">
        <v>24</v>
      </c>
      <c r="I564" t="s">
        <v>53</v>
      </c>
      <c r="J564">
        <v>8.4</v>
      </c>
      <c r="K564">
        <v>10249</v>
      </c>
      <c r="L564" t="s">
        <v>68</v>
      </c>
      <c r="M564" t="s">
        <v>54</v>
      </c>
      <c r="N564" t="s">
        <v>62</v>
      </c>
      <c r="O564" t="s">
        <v>46</v>
      </c>
      <c r="P564" t="s">
        <v>86</v>
      </c>
      <c r="Q564">
        <v>8.1</v>
      </c>
      <c r="R564">
        <v>4</v>
      </c>
    </row>
    <row r="565" spans="1:18" x14ac:dyDescent="0.3">
      <c r="A565" t="s">
        <v>1389</v>
      </c>
      <c r="B565" t="s">
        <v>58</v>
      </c>
      <c r="C565" t="s">
        <v>20</v>
      </c>
      <c r="D565" t="s">
        <v>21</v>
      </c>
      <c r="E565" t="s">
        <v>1390</v>
      </c>
      <c r="F565">
        <v>2017</v>
      </c>
      <c r="G565" t="s">
        <v>604</v>
      </c>
      <c r="H565" t="s">
        <v>24</v>
      </c>
      <c r="I565" t="s">
        <v>85</v>
      </c>
      <c r="J565">
        <v>17</v>
      </c>
      <c r="K565">
        <v>38881</v>
      </c>
      <c r="L565" t="s">
        <v>73</v>
      </c>
      <c r="M565" t="s">
        <v>80</v>
      </c>
      <c r="N565" t="s">
        <v>28</v>
      </c>
      <c r="O565" t="s">
        <v>46</v>
      </c>
      <c r="P565" t="s">
        <v>38</v>
      </c>
      <c r="Q565">
        <v>6.3</v>
      </c>
      <c r="R565">
        <v>9</v>
      </c>
    </row>
    <row r="566" spans="1:18" x14ac:dyDescent="0.3">
      <c r="A566" t="s">
        <v>1391</v>
      </c>
      <c r="B566" t="s">
        <v>58</v>
      </c>
      <c r="C566" t="s">
        <v>64</v>
      </c>
      <c r="D566" t="s">
        <v>77</v>
      </c>
      <c r="E566" t="s">
        <v>1392</v>
      </c>
      <c r="F566">
        <v>2017</v>
      </c>
      <c r="G566" t="s">
        <v>1393</v>
      </c>
      <c r="H566" t="s">
        <v>35</v>
      </c>
      <c r="I566" t="s">
        <v>61</v>
      </c>
      <c r="J566">
        <v>1.4</v>
      </c>
      <c r="K566">
        <v>42001</v>
      </c>
      <c r="L566" t="s">
        <v>36</v>
      </c>
      <c r="M566" t="s">
        <v>37</v>
      </c>
      <c r="N566" t="s">
        <v>28</v>
      </c>
      <c r="O566" t="s">
        <v>29</v>
      </c>
      <c r="P566" t="s">
        <v>86</v>
      </c>
      <c r="Q566">
        <v>2.1</v>
      </c>
      <c r="R566">
        <v>9</v>
      </c>
    </row>
    <row r="567" spans="1:18" x14ac:dyDescent="0.3">
      <c r="A567" t="s">
        <v>1394</v>
      </c>
      <c r="B567" t="s">
        <v>19</v>
      </c>
      <c r="C567" t="s">
        <v>32</v>
      </c>
      <c r="D567" t="s">
        <v>82</v>
      </c>
      <c r="E567" t="s">
        <v>1395</v>
      </c>
      <c r="F567">
        <v>2023</v>
      </c>
      <c r="G567" t="s">
        <v>510</v>
      </c>
      <c r="H567" t="s">
        <v>35</v>
      </c>
      <c r="I567" t="s">
        <v>85</v>
      </c>
      <c r="J567">
        <v>15</v>
      </c>
      <c r="K567">
        <v>33884</v>
      </c>
      <c r="L567" t="s">
        <v>26</v>
      </c>
      <c r="M567" t="s">
        <v>54</v>
      </c>
      <c r="N567" t="s">
        <v>62</v>
      </c>
      <c r="O567" t="s">
        <v>29</v>
      </c>
      <c r="P567" t="s">
        <v>56</v>
      </c>
      <c r="Q567">
        <v>9.5</v>
      </c>
      <c r="R567">
        <v>3</v>
      </c>
    </row>
    <row r="568" spans="1:18" x14ac:dyDescent="0.3">
      <c r="A568" t="s">
        <v>1396</v>
      </c>
      <c r="B568" t="s">
        <v>58</v>
      </c>
      <c r="C568" t="s">
        <v>76</v>
      </c>
      <c r="D568" t="s">
        <v>21</v>
      </c>
      <c r="E568" t="s">
        <v>1397</v>
      </c>
      <c r="F568">
        <v>2018</v>
      </c>
      <c r="G568" t="s">
        <v>430</v>
      </c>
      <c r="H568" t="s">
        <v>24</v>
      </c>
      <c r="I568" t="s">
        <v>61</v>
      </c>
      <c r="J568">
        <v>11</v>
      </c>
      <c r="K568">
        <v>20044</v>
      </c>
      <c r="L568" t="s">
        <v>101</v>
      </c>
      <c r="M568" t="s">
        <v>54</v>
      </c>
      <c r="N568" t="s">
        <v>55</v>
      </c>
      <c r="O568" t="s">
        <v>29</v>
      </c>
      <c r="P568" t="s">
        <v>47</v>
      </c>
      <c r="Q568">
        <v>8</v>
      </c>
      <c r="R568">
        <v>8</v>
      </c>
    </row>
    <row r="569" spans="1:18" x14ac:dyDescent="0.3">
      <c r="A569" t="s">
        <v>1398</v>
      </c>
      <c r="B569" t="s">
        <v>70</v>
      </c>
      <c r="C569" t="s">
        <v>64</v>
      </c>
      <c r="D569" t="s">
        <v>93</v>
      </c>
      <c r="E569" t="s">
        <v>1399</v>
      </c>
      <c r="F569">
        <v>2014</v>
      </c>
      <c r="G569" t="s">
        <v>347</v>
      </c>
      <c r="H569" t="s">
        <v>24</v>
      </c>
      <c r="I569" t="s">
        <v>61</v>
      </c>
      <c r="J569">
        <v>7</v>
      </c>
      <c r="K569">
        <v>43917</v>
      </c>
      <c r="L569" t="s">
        <v>36</v>
      </c>
      <c r="M569" t="s">
        <v>80</v>
      </c>
      <c r="N569" t="s">
        <v>28</v>
      </c>
      <c r="O569" t="s">
        <v>118</v>
      </c>
      <c r="P569" t="s">
        <v>56</v>
      </c>
      <c r="Q569">
        <v>8.8000000000000007</v>
      </c>
      <c r="R569">
        <v>12</v>
      </c>
    </row>
    <row r="570" spans="1:18" x14ac:dyDescent="0.3">
      <c r="A570" t="s">
        <v>1400</v>
      </c>
      <c r="B570" t="s">
        <v>40</v>
      </c>
      <c r="C570" t="s">
        <v>76</v>
      </c>
      <c r="D570" t="s">
        <v>65</v>
      </c>
      <c r="E570" t="s">
        <v>1401</v>
      </c>
      <c r="F570">
        <v>2025</v>
      </c>
      <c r="G570" t="s">
        <v>272</v>
      </c>
      <c r="H570" t="s">
        <v>24</v>
      </c>
      <c r="I570" t="s">
        <v>100</v>
      </c>
      <c r="J570">
        <v>5</v>
      </c>
      <c r="K570">
        <v>7744</v>
      </c>
      <c r="L570" t="s">
        <v>45</v>
      </c>
      <c r="M570" t="s">
        <v>80</v>
      </c>
      <c r="N570" t="s">
        <v>28</v>
      </c>
      <c r="O570" t="s">
        <v>118</v>
      </c>
      <c r="P570" t="s">
        <v>56</v>
      </c>
      <c r="Q570">
        <v>5</v>
      </c>
      <c r="R570">
        <v>1</v>
      </c>
    </row>
    <row r="571" spans="1:18" x14ac:dyDescent="0.3">
      <c r="A571" t="s">
        <v>1402</v>
      </c>
      <c r="B571" t="s">
        <v>49</v>
      </c>
      <c r="C571" t="s">
        <v>112</v>
      </c>
      <c r="D571" t="s">
        <v>41</v>
      </c>
      <c r="E571" t="s">
        <v>1403</v>
      </c>
      <c r="F571">
        <v>2019</v>
      </c>
      <c r="G571" t="s">
        <v>900</v>
      </c>
      <c r="H571" t="s">
        <v>24</v>
      </c>
      <c r="I571" t="s">
        <v>100</v>
      </c>
      <c r="J571">
        <v>7.2</v>
      </c>
      <c r="K571">
        <v>27366</v>
      </c>
      <c r="L571" t="s">
        <v>101</v>
      </c>
      <c r="M571" t="s">
        <v>37</v>
      </c>
      <c r="N571" t="s">
        <v>28</v>
      </c>
      <c r="O571" t="s">
        <v>46</v>
      </c>
      <c r="P571" t="s">
        <v>30</v>
      </c>
      <c r="Q571">
        <v>6</v>
      </c>
      <c r="R571">
        <v>7</v>
      </c>
    </row>
    <row r="572" spans="1:18" x14ac:dyDescent="0.3">
      <c r="A572" t="s">
        <v>1404</v>
      </c>
      <c r="B572" t="s">
        <v>49</v>
      </c>
      <c r="C572" t="s">
        <v>76</v>
      </c>
      <c r="D572" t="s">
        <v>77</v>
      </c>
      <c r="E572" t="s">
        <v>1405</v>
      </c>
      <c r="F572">
        <v>2018</v>
      </c>
      <c r="G572" t="s">
        <v>1066</v>
      </c>
      <c r="H572" t="s">
        <v>96</v>
      </c>
      <c r="I572" t="s">
        <v>61</v>
      </c>
      <c r="J572">
        <v>2.1</v>
      </c>
      <c r="K572">
        <v>36261</v>
      </c>
      <c r="L572" t="s">
        <v>36</v>
      </c>
      <c r="M572" t="s">
        <v>54</v>
      </c>
      <c r="N572" t="s">
        <v>55</v>
      </c>
      <c r="O572" t="s">
        <v>29</v>
      </c>
      <c r="P572" t="s">
        <v>86</v>
      </c>
      <c r="Q572">
        <v>0.9</v>
      </c>
      <c r="R572">
        <v>8</v>
      </c>
    </row>
    <row r="573" spans="1:18" x14ac:dyDescent="0.3">
      <c r="A573" t="s">
        <v>1406</v>
      </c>
      <c r="B573" t="s">
        <v>70</v>
      </c>
      <c r="C573" t="s">
        <v>20</v>
      </c>
      <c r="D573" t="s">
        <v>82</v>
      </c>
      <c r="E573" t="s">
        <v>1407</v>
      </c>
      <c r="F573">
        <v>2016</v>
      </c>
      <c r="G573" t="s">
        <v>259</v>
      </c>
      <c r="H573" t="s">
        <v>24</v>
      </c>
      <c r="I573" t="s">
        <v>53</v>
      </c>
      <c r="J573">
        <v>11.2</v>
      </c>
      <c r="K573">
        <v>18785</v>
      </c>
      <c r="L573" t="s">
        <v>45</v>
      </c>
      <c r="M573" t="s">
        <v>37</v>
      </c>
      <c r="N573" t="s">
        <v>55</v>
      </c>
      <c r="O573" t="s">
        <v>29</v>
      </c>
      <c r="P573" t="s">
        <v>86</v>
      </c>
      <c r="Q573">
        <v>7.5</v>
      </c>
      <c r="R573">
        <v>10</v>
      </c>
    </row>
    <row r="574" spans="1:18" x14ac:dyDescent="0.3">
      <c r="A574" t="s">
        <v>1408</v>
      </c>
      <c r="B574" t="s">
        <v>40</v>
      </c>
      <c r="C574" t="s">
        <v>32</v>
      </c>
      <c r="D574" t="s">
        <v>50</v>
      </c>
      <c r="E574" t="s">
        <v>1409</v>
      </c>
      <c r="F574">
        <v>2021</v>
      </c>
      <c r="G574" t="s">
        <v>1410</v>
      </c>
      <c r="H574" t="s">
        <v>96</v>
      </c>
      <c r="I574" t="s">
        <v>25</v>
      </c>
      <c r="J574">
        <v>14.5</v>
      </c>
      <c r="K574">
        <v>4987</v>
      </c>
      <c r="L574" t="s">
        <v>73</v>
      </c>
      <c r="M574" t="s">
        <v>54</v>
      </c>
      <c r="N574" t="s">
        <v>28</v>
      </c>
      <c r="O574" t="s">
        <v>29</v>
      </c>
      <c r="P574" t="s">
        <v>56</v>
      </c>
      <c r="Q574">
        <v>0.8</v>
      </c>
      <c r="R574">
        <v>5</v>
      </c>
    </row>
    <row r="575" spans="1:18" x14ac:dyDescent="0.3">
      <c r="A575" t="s">
        <v>1411</v>
      </c>
      <c r="B575" t="s">
        <v>58</v>
      </c>
      <c r="C575" t="s">
        <v>76</v>
      </c>
      <c r="D575" t="s">
        <v>41</v>
      </c>
      <c r="E575" t="s">
        <v>1412</v>
      </c>
      <c r="F575">
        <v>2018</v>
      </c>
      <c r="G575" t="s">
        <v>941</v>
      </c>
      <c r="H575" t="s">
        <v>96</v>
      </c>
      <c r="I575" t="s">
        <v>85</v>
      </c>
      <c r="J575">
        <v>1.2</v>
      </c>
      <c r="K575">
        <v>24864</v>
      </c>
      <c r="L575" t="s">
        <v>101</v>
      </c>
      <c r="M575" t="s">
        <v>27</v>
      </c>
      <c r="N575" t="s">
        <v>55</v>
      </c>
      <c r="O575" t="s">
        <v>118</v>
      </c>
      <c r="P575" t="s">
        <v>30</v>
      </c>
      <c r="Q575">
        <v>8.5</v>
      </c>
      <c r="R575">
        <v>8</v>
      </c>
    </row>
    <row r="576" spans="1:18" x14ac:dyDescent="0.3">
      <c r="A576" t="s">
        <v>1413</v>
      </c>
      <c r="B576" t="s">
        <v>70</v>
      </c>
      <c r="C576" t="s">
        <v>112</v>
      </c>
      <c r="D576" t="s">
        <v>21</v>
      </c>
      <c r="E576" t="s">
        <v>1414</v>
      </c>
      <c r="F576">
        <v>2016</v>
      </c>
      <c r="G576" t="s">
        <v>159</v>
      </c>
      <c r="H576" t="s">
        <v>96</v>
      </c>
      <c r="I576" t="s">
        <v>61</v>
      </c>
      <c r="J576">
        <v>15.1</v>
      </c>
      <c r="K576">
        <v>34840</v>
      </c>
      <c r="L576" t="s">
        <v>68</v>
      </c>
      <c r="M576" t="s">
        <v>54</v>
      </c>
      <c r="N576" t="s">
        <v>62</v>
      </c>
      <c r="O576" t="s">
        <v>29</v>
      </c>
      <c r="P576" t="s">
        <v>74</v>
      </c>
      <c r="Q576">
        <v>7.8</v>
      </c>
      <c r="R576">
        <v>10</v>
      </c>
    </row>
    <row r="577" spans="1:18" x14ac:dyDescent="0.3">
      <c r="A577" t="s">
        <v>1415</v>
      </c>
      <c r="B577" t="s">
        <v>19</v>
      </c>
      <c r="C577" t="s">
        <v>64</v>
      </c>
      <c r="D577" t="s">
        <v>50</v>
      </c>
      <c r="E577" t="s">
        <v>1416</v>
      </c>
      <c r="F577">
        <v>2016</v>
      </c>
      <c r="G577" t="s">
        <v>392</v>
      </c>
      <c r="H577" t="s">
        <v>24</v>
      </c>
      <c r="I577" t="s">
        <v>44</v>
      </c>
      <c r="J577">
        <v>16</v>
      </c>
      <c r="K577">
        <v>3201</v>
      </c>
      <c r="L577" t="s">
        <v>68</v>
      </c>
      <c r="M577" t="s">
        <v>80</v>
      </c>
      <c r="N577" t="s">
        <v>55</v>
      </c>
      <c r="O577" t="s">
        <v>118</v>
      </c>
      <c r="P577" t="s">
        <v>74</v>
      </c>
      <c r="Q577">
        <v>9.3000000000000007</v>
      </c>
      <c r="R577">
        <v>10</v>
      </c>
    </row>
    <row r="578" spans="1:18" x14ac:dyDescent="0.3">
      <c r="A578" t="s">
        <v>1417</v>
      </c>
      <c r="B578" t="s">
        <v>40</v>
      </c>
      <c r="C578" t="s">
        <v>112</v>
      </c>
      <c r="D578" t="s">
        <v>41</v>
      </c>
      <c r="E578" t="s">
        <v>1418</v>
      </c>
      <c r="F578">
        <v>2015</v>
      </c>
      <c r="G578" t="s">
        <v>321</v>
      </c>
      <c r="H578" t="s">
        <v>24</v>
      </c>
      <c r="I578" t="s">
        <v>25</v>
      </c>
      <c r="J578">
        <v>12</v>
      </c>
      <c r="K578">
        <v>31256</v>
      </c>
      <c r="L578" t="s">
        <v>101</v>
      </c>
      <c r="M578" t="s">
        <v>37</v>
      </c>
      <c r="N578" t="s">
        <v>62</v>
      </c>
      <c r="O578" t="s">
        <v>46</v>
      </c>
      <c r="P578" t="s">
        <v>30</v>
      </c>
      <c r="Q578">
        <v>3.6</v>
      </c>
      <c r="R578">
        <v>11</v>
      </c>
    </row>
    <row r="579" spans="1:18" x14ac:dyDescent="0.3">
      <c r="A579" t="s">
        <v>1419</v>
      </c>
      <c r="B579" t="s">
        <v>49</v>
      </c>
      <c r="C579" t="s">
        <v>76</v>
      </c>
      <c r="D579" t="s">
        <v>77</v>
      </c>
      <c r="E579" t="s">
        <v>1420</v>
      </c>
      <c r="F579">
        <v>2014</v>
      </c>
      <c r="G579" t="s">
        <v>1421</v>
      </c>
      <c r="H579" t="s">
        <v>96</v>
      </c>
      <c r="I579" t="s">
        <v>25</v>
      </c>
      <c r="J579">
        <v>16.399999999999999</v>
      </c>
      <c r="K579">
        <v>38800</v>
      </c>
      <c r="L579" t="s">
        <v>73</v>
      </c>
      <c r="M579" t="s">
        <v>54</v>
      </c>
      <c r="N579" t="s">
        <v>28</v>
      </c>
      <c r="O579" t="s">
        <v>46</v>
      </c>
      <c r="P579" t="s">
        <v>86</v>
      </c>
      <c r="Q579">
        <v>3.6</v>
      </c>
      <c r="R579">
        <v>12</v>
      </c>
    </row>
    <row r="580" spans="1:18" x14ac:dyDescent="0.3">
      <c r="A580" t="s">
        <v>1422</v>
      </c>
      <c r="B580" t="s">
        <v>19</v>
      </c>
      <c r="C580" t="s">
        <v>32</v>
      </c>
      <c r="D580" t="s">
        <v>93</v>
      </c>
      <c r="E580" t="s">
        <v>1423</v>
      </c>
      <c r="F580">
        <v>2014</v>
      </c>
      <c r="G580" t="s">
        <v>315</v>
      </c>
      <c r="H580" t="s">
        <v>24</v>
      </c>
      <c r="I580" t="s">
        <v>85</v>
      </c>
      <c r="J580">
        <v>5</v>
      </c>
      <c r="K580">
        <v>17233</v>
      </c>
      <c r="L580" t="s">
        <v>36</v>
      </c>
      <c r="M580" t="s">
        <v>80</v>
      </c>
      <c r="N580" t="s">
        <v>28</v>
      </c>
      <c r="O580" t="s">
        <v>29</v>
      </c>
      <c r="P580" t="s">
        <v>56</v>
      </c>
      <c r="Q580">
        <v>4.2</v>
      </c>
      <c r="R580">
        <v>12</v>
      </c>
    </row>
    <row r="581" spans="1:18" x14ac:dyDescent="0.3">
      <c r="A581" t="s">
        <v>1424</v>
      </c>
      <c r="B581" t="s">
        <v>40</v>
      </c>
      <c r="C581" t="s">
        <v>112</v>
      </c>
      <c r="D581" t="s">
        <v>77</v>
      </c>
      <c r="E581" t="s">
        <v>1425</v>
      </c>
      <c r="F581">
        <v>2020</v>
      </c>
      <c r="G581" t="s">
        <v>373</v>
      </c>
      <c r="H581" t="s">
        <v>24</v>
      </c>
      <c r="I581" t="s">
        <v>85</v>
      </c>
      <c r="J581">
        <v>13.4</v>
      </c>
      <c r="K581">
        <v>21822</v>
      </c>
      <c r="L581" t="s">
        <v>101</v>
      </c>
      <c r="M581" t="s">
        <v>54</v>
      </c>
      <c r="N581" t="s">
        <v>55</v>
      </c>
      <c r="O581" t="s">
        <v>46</v>
      </c>
      <c r="P581" t="s">
        <v>30</v>
      </c>
      <c r="Q581">
        <v>8.4</v>
      </c>
      <c r="R581">
        <v>6</v>
      </c>
    </row>
    <row r="582" spans="1:18" x14ac:dyDescent="0.3">
      <c r="A582" t="s">
        <v>1426</v>
      </c>
      <c r="B582" t="s">
        <v>58</v>
      </c>
      <c r="C582" t="s">
        <v>76</v>
      </c>
      <c r="D582" t="s">
        <v>82</v>
      </c>
      <c r="E582" t="s">
        <v>1427</v>
      </c>
      <c r="F582">
        <v>2022</v>
      </c>
      <c r="G582" t="s">
        <v>926</v>
      </c>
      <c r="H582" t="s">
        <v>24</v>
      </c>
      <c r="I582" t="s">
        <v>100</v>
      </c>
      <c r="J582">
        <v>11</v>
      </c>
      <c r="K582">
        <v>7412</v>
      </c>
      <c r="L582" t="s">
        <v>36</v>
      </c>
      <c r="M582" t="s">
        <v>37</v>
      </c>
      <c r="N582" t="s">
        <v>62</v>
      </c>
      <c r="O582" t="s">
        <v>29</v>
      </c>
      <c r="P582" t="s">
        <v>47</v>
      </c>
      <c r="Q582">
        <v>6.5</v>
      </c>
      <c r="R582">
        <v>4</v>
      </c>
    </row>
    <row r="583" spans="1:18" x14ac:dyDescent="0.3">
      <c r="A583" t="s">
        <v>1428</v>
      </c>
      <c r="B583" t="s">
        <v>49</v>
      </c>
      <c r="C583" t="s">
        <v>20</v>
      </c>
      <c r="D583" t="s">
        <v>82</v>
      </c>
      <c r="E583" t="s">
        <v>1429</v>
      </c>
      <c r="F583">
        <v>2015</v>
      </c>
      <c r="G583" t="s">
        <v>540</v>
      </c>
      <c r="H583" t="s">
        <v>35</v>
      </c>
      <c r="I583" t="s">
        <v>25</v>
      </c>
      <c r="J583">
        <v>12.5</v>
      </c>
      <c r="K583">
        <v>11662</v>
      </c>
      <c r="L583" t="s">
        <v>36</v>
      </c>
      <c r="M583" t="s">
        <v>80</v>
      </c>
      <c r="N583" t="s">
        <v>55</v>
      </c>
      <c r="O583" t="s">
        <v>118</v>
      </c>
      <c r="P583" t="s">
        <v>47</v>
      </c>
      <c r="Q583">
        <v>1.3</v>
      </c>
      <c r="R583">
        <v>11</v>
      </c>
    </row>
    <row r="584" spans="1:18" x14ac:dyDescent="0.3">
      <c r="A584" t="s">
        <v>1430</v>
      </c>
      <c r="B584" t="s">
        <v>40</v>
      </c>
      <c r="C584" t="s">
        <v>64</v>
      </c>
      <c r="D584" t="s">
        <v>65</v>
      </c>
      <c r="E584" t="s">
        <v>1431</v>
      </c>
      <c r="F584">
        <v>2021</v>
      </c>
      <c r="G584" t="s">
        <v>186</v>
      </c>
      <c r="H584" t="s">
        <v>96</v>
      </c>
      <c r="I584" t="s">
        <v>61</v>
      </c>
      <c r="J584">
        <v>9.6999999999999993</v>
      </c>
      <c r="K584">
        <v>20864</v>
      </c>
      <c r="L584" t="s">
        <v>45</v>
      </c>
      <c r="M584" t="s">
        <v>80</v>
      </c>
      <c r="N584" t="s">
        <v>62</v>
      </c>
      <c r="O584" t="s">
        <v>29</v>
      </c>
      <c r="P584" t="s">
        <v>30</v>
      </c>
      <c r="Q584">
        <v>5.4</v>
      </c>
      <c r="R584">
        <v>5</v>
      </c>
    </row>
    <row r="585" spans="1:18" x14ac:dyDescent="0.3">
      <c r="A585" t="s">
        <v>1432</v>
      </c>
      <c r="B585" t="s">
        <v>58</v>
      </c>
      <c r="C585" t="s">
        <v>112</v>
      </c>
      <c r="D585" t="s">
        <v>82</v>
      </c>
      <c r="E585" t="s">
        <v>1433</v>
      </c>
      <c r="F585">
        <v>2022</v>
      </c>
      <c r="G585" t="s">
        <v>416</v>
      </c>
      <c r="H585" t="s">
        <v>35</v>
      </c>
      <c r="I585" t="s">
        <v>100</v>
      </c>
      <c r="J585">
        <v>14.7</v>
      </c>
      <c r="K585">
        <v>24795</v>
      </c>
      <c r="L585" t="s">
        <v>68</v>
      </c>
      <c r="M585" t="s">
        <v>80</v>
      </c>
      <c r="N585" t="s">
        <v>62</v>
      </c>
      <c r="O585" t="s">
        <v>29</v>
      </c>
      <c r="P585" t="s">
        <v>30</v>
      </c>
      <c r="Q585">
        <v>7.5</v>
      </c>
      <c r="R585">
        <v>4</v>
      </c>
    </row>
    <row r="586" spans="1:18" x14ac:dyDescent="0.3">
      <c r="A586" t="s">
        <v>1434</v>
      </c>
      <c r="B586" t="s">
        <v>40</v>
      </c>
      <c r="C586" t="s">
        <v>76</v>
      </c>
      <c r="D586" t="s">
        <v>41</v>
      </c>
      <c r="E586" t="s">
        <v>1435</v>
      </c>
      <c r="F586">
        <v>2021</v>
      </c>
      <c r="G586" t="s">
        <v>1436</v>
      </c>
      <c r="H586" t="s">
        <v>24</v>
      </c>
      <c r="I586" t="s">
        <v>25</v>
      </c>
      <c r="J586">
        <v>5.7</v>
      </c>
      <c r="K586">
        <v>39983</v>
      </c>
      <c r="L586" t="s">
        <v>101</v>
      </c>
      <c r="M586" t="s">
        <v>27</v>
      </c>
      <c r="N586" t="s">
        <v>62</v>
      </c>
      <c r="O586" t="s">
        <v>118</v>
      </c>
      <c r="P586" t="s">
        <v>74</v>
      </c>
      <c r="Q586">
        <v>8.1999999999999993</v>
      </c>
      <c r="R586">
        <v>5</v>
      </c>
    </row>
    <row r="587" spans="1:18" x14ac:dyDescent="0.3">
      <c r="A587" t="s">
        <v>1437</v>
      </c>
      <c r="B587" t="s">
        <v>40</v>
      </c>
      <c r="C587" t="s">
        <v>64</v>
      </c>
      <c r="D587" t="s">
        <v>21</v>
      </c>
      <c r="E587" t="s">
        <v>1438</v>
      </c>
      <c r="F587">
        <v>2019</v>
      </c>
      <c r="G587" t="s">
        <v>1161</v>
      </c>
      <c r="H587" t="s">
        <v>24</v>
      </c>
      <c r="I587" t="s">
        <v>100</v>
      </c>
      <c r="J587">
        <v>5</v>
      </c>
      <c r="K587">
        <v>8468</v>
      </c>
      <c r="L587" t="s">
        <v>36</v>
      </c>
      <c r="M587" t="s">
        <v>80</v>
      </c>
      <c r="N587" t="s">
        <v>28</v>
      </c>
      <c r="O587" t="s">
        <v>118</v>
      </c>
      <c r="P587" t="s">
        <v>30</v>
      </c>
      <c r="Q587">
        <v>0.6</v>
      </c>
      <c r="R587">
        <v>7</v>
      </c>
    </row>
    <row r="588" spans="1:18" x14ac:dyDescent="0.3">
      <c r="A588" t="s">
        <v>1439</v>
      </c>
      <c r="B588" t="s">
        <v>58</v>
      </c>
      <c r="C588" t="s">
        <v>76</v>
      </c>
      <c r="D588" t="s">
        <v>50</v>
      </c>
      <c r="E588" t="s">
        <v>1440</v>
      </c>
      <c r="F588">
        <v>2024</v>
      </c>
      <c r="G588" t="s">
        <v>485</v>
      </c>
      <c r="H588" t="s">
        <v>35</v>
      </c>
      <c r="I588" t="s">
        <v>25</v>
      </c>
      <c r="J588">
        <v>11</v>
      </c>
      <c r="K588">
        <v>33397</v>
      </c>
      <c r="L588" t="s">
        <v>68</v>
      </c>
      <c r="M588" t="s">
        <v>37</v>
      </c>
      <c r="N588" t="s">
        <v>62</v>
      </c>
      <c r="O588" t="s">
        <v>46</v>
      </c>
      <c r="P588" t="s">
        <v>38</v>
      </c>
      <c r="Q588">
        <v>6.9</v>
      </c>
      <c r="R588">
        <v>2</v>
      </c>
    </row>
    <row r="589" spans="1:18" x14ac:dyDescent="0.3">
      <c r="A589" t="s">
        <v>1441</v>
      </c>
      <c r="B589" t="s">
        <v>40</v>
      </c>
      <c r="C589" t="s">
        <v>64</v>
      </c>
      <c r="D589" t="s">
        <v>41</v>
      </c>
      <c r="E589" t="s">
        <v>1442</v>
      </c>
      <c r="F589">
        <v>2018</v>
      </c>
      <c r="G589" t="s">
        <v>1393</v>
      </c>
      <c r="H589" t="s">
        <v>24</v>
      </c>
      <c r="I589" t="s">
        <v>44</v>
      </c>
      <c r="J589">
        <v>12.7</v>
      </c>
      <c r="K589">
        <v>13835</v>
      </c>
      <c r="L589" t="s">
        <v>26</v>
      </c>
      <c r="M589" t="s">
        <v>54</v>
      </c>
      <c r="N589" t="s">
        <v>55</v>
      </c>
      <c r="O589" t="s">
        <v>46</v>
      </c>
      <c r="P589" t="s">
        <v>56</v>
      </c>
      <c r="Q589">
        <v>6.7</v>
      </c>
      <c r="R589">
        <v>8</v>
      </c>
    </row>
    <row r="590" spans="1:18" x14ac:dyDescent="0.3">
      <c r="A590" t="s">
        <v>1443</v>
      </c>
      <c r="B590" t="s">
        <v>49</v>
      </c>
      <c r="C590" t="s">
        <v>64</v>
      </c>
      <c r="D590" t="s">
        <v>41</v>
      </c>
      <c r="E590" t="s">
        <v>1444</v>
      </c>
      <c r="F590">
        <v>2020</v>
      </c>
      <c r="G590" t="s">
        <v>201</v>
      </c>
      <c r="H590" t="s">
        <v>24</v>
      </c>
      <c r="I590" t="s">
        <v>85</v>
      </c>
      <c r="J590">
        <v>3.1</v>
      </c>
      <c r="K590">
        <v>29148</v>
      </c>
      <c r="L590" t="s">
        <v>26</v>
      </c>
      <c r="M590" t="s">
        <v>80</v>
      </c>
      <c r="N590" t="s">
        <v>28</v>
      </c>
      <c r="O590" t="s">
        <v>29</v>
      </c>
      <c r="P590" t="s">
        <v>38</v>
      </c>
      <c r="Q590">
        <v>7.2</v>
      </c>
      <c r="R590">
        <v>6</v>
      </c>
    </row>
    <row r="591" spans="1:18" x14ac:dyDescent="0.3">
      <c r="A591" t="s">
        <v>1445</v>
      </c>
      <c r="B591" t="s">
        <v>19</v>
      </c>
      <c r="C591" t="s">
        <v>76</v>
      </c>
      <c r="D591" t="s">
        <v>93</v>
      </c>
      <c r="E591" t="s">
        <v>1446</v>
      </c>
      <c r="F591">
        <v>2021</v>
      </c>
      <c r="G591" t="s">
        <v>194</v>
      </c>
      <c r="H591" t="s">
        <v>24</v>
      </c>
      <c r="I591" t="s">
        <v>53</v>
      </c>
      <c r="J591">
        <v>10.5</v>
      </c>
      <c r="K591">
        <v>27172</v>
      </c>
      <c r="L591" t="s">
        <v>26</v>
      </c>
      <c r="M591" t="s">
        <v>37</v>
      </c>
      <c r="N591" t="s">
        <v>28</v>
      </c>
      <c r="O591" t="s">
        <v>29</v>
      </c>
      <c r="P591" t="s">
        <v>38</v>
      </c>
      <c r="Q591">
        <v>8.6</v>
      </c>
      <c r="R591">
        <v>5</v>
      </c>
    </row>
    <row r="592" spans="1:18" x14ac:dyDescent="0.3">
      <c r="A592" t="s">
        <v>1447</v>
      </c>
      <c r="B592" t="s">
        <v>58</v>
      </c>
      <c r="C592" t="s">
        <v>32</v>
      </c>
      <c r="D592" t="s">
        <v>93</v>
      </c>
      <c r="E592" t="s">
        <v>1448</v>
      </c>
      <c r="F592">
        <v>2020</v>
      </c>
      <c r="G592" t="s">
        <v>392</v>
      </c>
      <c r="H592" t="s">
        <v>35</v>
      </c>
      <c r="I592" t="s">
        <v>53</v>
      </c>
      <c r="J592">
        <v>1.1000000000000001</v>
      </c>
      <c r="K592">
        <v>27693</v>
      </c>
      <c r="L592" t="s">
        <v>36</v>
      </c>
      <c r="M592" t="s">
        <v>27</v>
      </c>
      <c r="N592" t="s">
        <v>28</v>
      </c>
      <c r="O592" t="s">
        <v>46</v>
      </c>
      <c r="P592" t="s">
        <v>30</v>
      </c>
      <c r="Q592">
        <v>5.5</v>
      </c>
      <c r="R592">
        <v>6</v>
      </c>
    </row>
    <row r="593" spans="1:18" x14ac:dyDescent="0.3">
      <c r="A593" t="s">
        <v>1449</v>
      </c>
      <c r="B593" t="s">
        <v>70</v>
      </c>
      <c r="C593" t="s">
        <v>32</v>
      </c>
      <c r="D593" t="s">
        <v>41</v>
      </c>
      <c r="E593" t="s">
        <v>1450</v>
      </c>
      <c r="F593">
        <v>2020</v>
      </c>
      <c r="G593" t="s">
        <v>244</v>
      </c>
      <c r="H593" t="s">
        <v>24</v>
      </c>
      <c r="I593" t="s">
        <v>25</v>
      </c>
      <c r="J593">
        <v>7.8</v>
      </c>
      <c r="K593">
        <v>32520</v>
      </c>
      <c r="L593" t="s">
        <v>26</v>
      </c>
      <c r="M593" t="s">
        <v>27</v>
      </c>
      <c r="N593" t="s">
        <v>62</v>
      </c>
      <c r="O593" t="s">
        <v>46</v>
      </c>
      <c r="P593" t="s">
        <v>86</v>
      </c>
      <c r="Q593">
        <v>4.8</v>
      </c>
      <c r="R593">
        <v>6</v>
      </c>
    </row>
    <row r="594" spans="1:18" x14ac:dyDescent="0.3">
      <c r="A594" t="s">
        <v>1451</v>
      </c>
      <c r="B594" t="s">
        <v>40</v>
      </c>
      <c r="C594" t="s">
        <v>20</v>
      </c>
      <c r="D594" t="s">
        <v>65</v>
      </c>
      <c r="E594" t="s">
        <v>1452</v>
      </c>
      <c r="F594">
        <v>2020</v>
      </c>
      <c r="G594" t="s">
        <v>352</v>
      </c>
      <c r="H594" t="s">
        <v>24</v>
      </c>
      <c r="I594" t="s">
        <v>53</v>
      </c>
      <c r="J594">
        <v>8.1999999999999993</v>
      </c>
      <c r="K594">
        <v>34768</v>
      </c>
      <c r="L594" t="s">
        <v>73</v>
      </c>
      <c r="M594" t="s">
        <v>37</v>
      </c>
      <c r="N594" t="s">
        <v>62</v>
      </c>
      <c r="O594" t="s">
        <v>46</v>
      </c>
      <c r="P594" t="s">
        <v>38</v>
      </c>
      <c r="Q594">
        <v>5</v>
      </c>
      <c r="R594">
        <v>6</v>
      </c>
    </row>
    <row r="595" spans="1:18" x14ac:dyDescent="0.3">
      <c r="A595" t="s">
        <v>1453</v>
      </c>
      <c r="B595" t="s">
        <v>58</v>
      </c>
      <c r="C595" t="s">
        <v>76</v>
      </c>
      <c r="D595" t="s">
        <v>50</v>
      </c>
      <c r="E595" t="s">
        <v>1454</v>
      </c>
      <c r="F595">
        <v>2018</v>
      </c>
      <c r="G595" t="s">
        <v>583</v>
      </c>
      <c r="H595" t="s">
        <v>96</v>
      </c>
      <c r="I595" t="s">
        <v>25</v>
      </c>
      <c r="J595">
        <v>13.4</v>
      </c>
      <c r="K595">
        <v>32454</v>
      </c>
      <c r="L595" t="s">
        <v>73</v>
      </c>
      <c r="M595" t="s">
        <v>54</v>
      </c>
      <c r="N595" t="s">
        <v>55</v>
      </c>
      <c r="O595" t="s">
        <v>46</v>
      </c>
      <c r="P595" t="s">
        <v>38</v>
      </c>
      <c r="Q595">
        <v>1.3</v>
      </c>
      <c r="R595">
        <v>8</v>
      </c>
    </row>
    <row r="596" spans="1:18" x14ac:dyDescent="0.3">
      <c r="A596" t="s">
        <v>1455</v>
      </c>
      <c r="B596" t="s">
        <v>40</v>
      </c>
      <c r="C596" t="s">
        <v>64</v>
      </c>
      <c r="D596" t="s">
        <v>21</v>
      </c>
      <c r="E596" t="s">
        <v>1456</v>
      </c>
      <c r="F596">
        <v>2021</v>
      </c>
      <c r="G596" t="s">
        <v>645</v>
      </c>
      <c r="H596" t="s">
        <v>35</v>
      </c>
      <c r="I596" t="s">
        <v>44</v>
      </c>
      <c r="J596">
        <v>14.4</v>
      </c>
      <c r="K596">
        <v>33856</v>
      </c>
      <c r="L596" t="s">
        <v>68</v>
      </c>
      <c r="M596" t="s">
        <v>54</v>
      </c>
      <c r="N596" t="s">
        <v>28</v>
      </c>
      <c r="O596" t="s">
        <v>46</v>
      </c>
      <c r="P596" t="s">
        <v>30</v>
      </c>
      <c r="Q596">
        <v>10</v>
      </c>
      <c r="R596">
        <v>5</v>
      </c>
    </row>
    <row r="597" spans="1:18" x14ac:dyDescent="0.3">
      <c r="A597" t="s">
        <v>1457</v>
      </c>
      <c r="B597" t="s">
        <v>70</v>
      </c>
      <c r="C597" t="s">
        <v>64</v>
      </c>
      <c r="D597" t="s">
        <v>21</v>
      </c>
      <c r="E597" t="s">
        <v>1458</v>
      </c>
      <c r="F597">
        <v>2019</v>
      </c>
      <c r="G597" t="s">
        <v>129</v>
      </c>
      <c r="H597" t="s">
        <v>35</v>
      </c>
      <c r="I597" t="s">
        <v>100</v>
      </c>
      <c r="J597">
        <v>1.1000000000000001</v>
      </c>
      <c r="K597">
        <v>5672</v>
      </c>
      <c r="L597" t="s">
        <v>68</v>
      </c>
      <c r="M597" t="s">
        <v>27</v>
      </c>
      <c r="N597" t="s">
        <v>28</v>
      </c>
      <c r="O597" t="s">
        <v>46</v>
      </c>
      <c r="P597" t="s">
        <v>56</v>
      </c>
      <c r="Q597">
        <v>1.6</v>
      </c>
      <c r="R597">
        <v>7</v>
      </c>
    </row>
    <row r="598" spans="1:18" x14ac:dyDescent="0.3">
      <c r="A598" t="s">
        <v>1459</v>
      </c>
      <c r="B598" t="s">
        <v>70</v>
      </c>
      <c r="C598" t="s">
        <v>20</v>
      </c>
      <c r="D598" t="s">
        <v>50</v>
      </c>
      <c r="E598" t="s">
        <v>1460</v>
      </c>
      <c r="F598">
        <v>2017</v>
      </c>
      <c r="G598" t="s">
        <v>1265</v>
      </c>
      <c r="H598" t="s">
        <v>24</v>
      </c>
      <c r="I598" t="s">
        <v>44</v>
      </c>
      <c r="J598">
        <v>14</v>
      </c>
      <c r="K598">
        <v>38005</v>
      </c>
      <c r="L598" t="s">
        <v>68</v>
      </c>
      <c r="M598" t="s">
        <v>54</v>
      </c>
      <c r="N598" t="s">
        <v>62</v>
      </c>
      <c r="O598" t="s">
        <v>46</v>
      </c>
      <c r="P598" t="s">
        <v>74</v>
      </c>
      <c r="Q598">
        <v>6.9</v>
      </c>
      <c r="R598">
        <v>9</v>
      </c>
    </row>
    <row r="599" spans="1:18" x14ac:dyDescent="0.3">
      <c r="A599" t="s">
        <v>1461</v>
      </c>
      <c r="B599" t="s">
        <v>58</v>
      </c>
      <c r="C599" t="s">
        <v>76</v>
      </c>
      <c r="D599" t="s">
        <v>50</v>
      </c>
      <c r="E599" t="s">
        <v>1462</v>
      </c>
      <c r="F599">
        <v>2025</v>
      </c>
      <c r="G599" t="s">
        <v>1463</v>
      </c>
      <c r="H599" t="s">
        <v>35</v>
      </c>
      <c r="I599" t="s">
        <v>44</v>
      </c>
      <c r="J599">
        <v>14.2</v>
      </c>
      <c r="K599">
        <v>41454</v>
      </c>
      <c r="L599" t="s">
        <v>26</v>
      </c>
      <c r="M599" t="s">
        <v>80</v>
      </c>
      <c r="N599" t="s">
        <v>62</v>
      </c>
      <c r="O599" t="s">
        <v>29</v>
      </c>
      <c r="P599" t="s">
        <v>56</v>
      </c>
      <c r="Q599">
        <v>6.5</v>
      </c>
      <c r="R599">
        <v>1</v>
      </c>
    </row>
    <row r="600" spans="1:18" x14ac:dyDescent="0.3">
      <c r="A600" t="s">
        <v>1464</v>
      </c>
      <c r="B600" t="s">
        <v>40</v>
      </c>
      <c r="C600" t="s">
        <v>20</v>
      </c>
      <c r="D600" t="s">
        <v>65</v>
      </c>
      <c r="E600" t="s">
        <v>1465</v>
      </c>
      <c r="F600">
        <v>2017</v>
      </c>
      <c r="G600" t="s">
        <v>1069</v>
      </c>
      <c r="H600" t="s">
        <v>24</v>
      </c>
      <c r="I600" t="s">
        <v>100</v>
      </c>
      <c r="J600">
        <v>9.1999999999999993</v>
      </c>
      <c r="K600">
        <v>8007</v>
      </c>
      <c r="L600" t="s">
        <v>73</v>
      </c>
      <c r="M600" t="s">
        <v>37</v>
      </c>
      <c r="N600" t="s">
        <v>55</v>
      </c>
      <c r="O600" t="s">
        <v>29</v>
      </c>
      <c r="P600" t="s">
        <v>30</v>
      </c>
      <c r="Q600">
        <v>8.6</v>
      </c>
      <c r="R600">
        <v>9</v>
      </c>
    </row>
    <row r="601" spans="1:18" x14ac:dyDescent="0.3">
      <c r="A601" t="s">
        <v>1466</v>
      </c>
      <c r="B601" t="s">
        <v>19</v>
      </c>
      <c r="C601" t="s">
        <v>64</v>
      </c>
      <c r="D601" t="s">
        <v>50</v>
      </c>
      <c r="E601" t="s">
        <v>1467</v>
      </c>
      <c r="F601">
        <v>2021</v>
      </c>
      <c r="G601" t="s">
        <v>392</v>
      </c>
      <c r="H601" t="s">
        <v>35</v>
      </c>
      <c r="I601" t="s">
        <v>53</v>
      </c>
      <c r="J601">
        <v>5.5</v>
      </c>
      <c r="K601">
        <v>12723</v>
      </c>
      <c r="L601" t="s">
        <v>26</v>
      </c>
      <c r="M601" t="s">
        <v>37</v>
      </c>
      <c r="N601" t="s">
        <v>55</v>
      </c>
      <c r="O601" t="s">
        <v>46</v>
      </c>
      <c r="P601" t="s">
        <v>47</v>
      </c>
      <c r="Q601">
        <v>3.9</v>
      </c>
      <c r="R601">
        <v>5</v>
      </c>
    </row>
    <row r="602" spans="1:18" x14ac:dyDescent="0.3">
      <c r="A602" t="s">
        <v>1468</v>
      </c>
      <c r="B602" t="s">
        <v>40</v>
      </c>
      <c r="C602" t="s">
        <v>32</v>
      </c>
      <c r="D602" t="s">
        <v>82</v>
      </c>
      <c r="E602" t="s">
        <v>1469</v>
      </c>
      <c r="F602">
        <v>2024</v>
      </c>
      <c r="G602" t="s">
        <v>490</v>
      </c>
      <c r="H602" t="s">
        <v>35</v>
      </c>
      <c r="I602" t="s">
        <v>61</v>
      </c>
      <c r="J602">
        <v>14.5</v>
      </c>
      <c r="K602">
        <v>28593</v>
      </c>
      <c r="L602" t="s">
        <v>36</v>
      </c>
      <c r="M602" t="s">
        <v>27</v>
      </c>
      <c r="N602" t="s">
        <v>62</v>
      </c>
      <c r="O602" t="s">
        <v>46</v>
      </c>
      <c r="P602" t="s">
        <v>86</v>
      </c>
      <c r="Q602">
        <v>9.5</v>
      </c>
      <c r="R602">
        <v>2</v>
      </c>
    </row>
    <row r="603" spans="1:18" x14ac:dyDescent="0.3">
      <c r="A603" t="s">
        <v>1470</v>
      </c>
      <c r="B603" t="s">
        <v>19</v>
      </c>
      <c r="C603" t="s">
        <v>32</v>
      </c>
      <c r="D603" t="s">
        <v>41</v>
      </c>
      <c r="E603" t="s">
        <v>1471</v>
      </c>
      <c r="F603">
        <v>2021</v>
      </c>
      <c r="G603" t="s">
        <v>168</v>
      </c>
      <c r="H603" t="s">
        <v>24</v>
      </c>
      <c r="I603" t="s">
        <v>53</v>
      </c>
      <c r="J603">
        <v>7.5</v>
      </c>
      <c r="K603">
        <v>12269</v>
      </c>
      <c r="L603" t="s">
        <v>36</v>
      </c>
      <c r="M603" t="s">
        <v>80</v>
      </c>
      <c r="N603" t="s">
        <v>55</v>
      </c>
      <c r="O603" t="s">
        <v>29</v>
      </c>
      <c r="P603" t="s">
        <v>38</v>
      </c>
      <c r="Q603">
        <v>9.3000000000000007</v>
      </c>
      <c r="R603">
        <v>5</v>
      </c>
    </row>
    <row r="604" spans="1:18" x14ac:dyDescent="0.3">
      <c r="A604" t="s">
        <v>1472</v>
      </c>
      <c r="B604" t="s">
        <v>19</v>
      </c>
      <c r="C604" t="s">
        <v>32</v>
      </c>
      <c r="D604" t="s">
        <v>77</v>
      </c>
      <c r="E604" t="s">
        <v>1473</v>
      </c>
      <c r="F604">
        <v>2016</v>
      </c>
      <c r="G604" t="s">
        <v>244</v>
      </c>
      <c r="H604" t="s">
        <v>24</v>
      </c>
      <c r="I604" t="s">
        <v>25</v>
      </c>
      <c r="J604">
        <v>12.8</v>
      </c>
      <c r="K604">
        <v>21444</v>
      </c>
      <c r="L604" t="s">
        <v>101</v>
      </c>
      <c r="M604" t="s">
        <v>37</v>
      </c>
      <c r="N604" t="s">
        <v>55</v>
      </c>
      <c r="O604" t="s">
        <v>29</v>
      </c>
      <c r="P604" t="s">
        <v>86</v>
      </c>
      <c r="Q604">
        <v>9.1</v>
      </c>
      <c r="R604">
        <v>10</v>
      </c>
    </row>
    <row r="605" spans="1:18" x14ac:dyDescent="0.3">
      <c r="A605" t="s">
        <v>1474</v>
      </c>
      <c r="B605" t="s">
        <v>58</v>
      </c>
      <c r="C605" t="s">
        <v>76</v>
      </c>
      <c r="D605" t="s">
        <v>65</v>
      </c>
      <c r="E605" t="s">
        <v>1475</v>
      </c>
      <c r="F605">
        <v>2023</v>
      </c>
      <c r="G605" t="s">
        <v>168</v>
      </c>
      <c r="H605" t="s">
        <v>24</v>
      </c>
      <c r="I605" t="s">
        <v>100</v>
      </c>
      <c r="J605">
        <v>11.4</v>
      </c>
      <c r="K605">
        <v>42013</v>
      </c>
      <c r="L605" t="s">
        <v>101</v>
      </c>
      <c r="M605" t="s">
        <v>27</v>
      </c>
      <c r="N605" t="s">
        <v>62</v>
      </c>
      <c r="O605" t="s">
        <v>118</v>
      </c>
      <c r="P605" t="s">
        <v>38</v>
      </c>
      <c r="Q605">
        <v>4.3</v>
      </c>
      <c r="R605">
        <v>3</v>
      </c>
    </row>
    <row r="606" spans="1:18" x14ac:dyDescent="0.3">
      <c r="A606" t="s">
        <v>1476</v>
      </c>
      <c r="B606" t="s">
        <v>19</v>
      </c>
      <c r="C606" t="s">
        <v>112</v>
      </c>
      <c r="D606" t="s">
        <v>93</v>
      </c>
      <c r="E606" t="s">
        <v>1477</v>
      </c>
      <c r="F606">
        <v>2017</v>
      </c>
      <c r="G606" t="s">
        <v>134</v>
      </c>
      <c r="H606" t="s">
        <v>24</v>
      </c>
      <c r="I606" t="s">
        <v>25</v>
      </c>
      <c r="J606">
        <v>13.1</v>
      </c>
      <c r="K606">
        <v>9757</v>
      </c>
      <c r="L606" t="s">
        <v>45</v>
      </c>
      <c r="M606" t="s">
        <v>37</v>
      </c>
      <c r="N606" t="s">
        <v>28</v>
      </c>
      <c r="O606" t="s">
        <v>29</v>
      </c>
      <c r="P606" t="s">
        <v>74</v>
      </c>
      <c r="Q606">
        <v>5.7</v>
      </c>
      <c r="R606">
        <v>9</v>
      </c>
    </row>
    <row r="607" spans="1:18" x14ac:dyDescent="0.3">
      <c r="A607" t="s">
        <v>1478</v>
      </c>
      <c r="B607" t="s">
        <v>40</v>
      </c>
      <c r="C607" t="s">
        <v>112</v>
      </c>
      <c r="D607" t="s">
        <v>41</v>
      </c>
      <c r="E607" t="s">
        <v>1479</v>
      </c>
      <c r="F607">
        <v>2022</v>
      </c>
      <c r="G607" t="s">
        <v>1480</v>
      </c>
      <c r="H607" t="s">
        <v>96</v>
      </c>
      <c r="I607" t="s">
        <v>100</v>
      </c>
      <c r="J607">
        <v>10.9</v>
      </c>
      <c r="K607">
        <v>17316</v>
      </c>
      <c r="L607" t="s">
        <v>68</v>
      </c>
      <c r="M607" t="s">
        <v>27</v>
      </c>
      <c r="N607" t="s">
        <v>62</v>
      </c>
      <c r="O607" t="s">
        <v>29</v>
      </c>
      <c r="P607" t="s">
        <v>38</v>
      </c>
      <c r="Q607">
        <v>1.1000000000000001</v>
      </c>
      <c r="R607">
        <v>4</v>
      </c>
    </row>
    <row r="608" spans="1:18" x14ac:dyDescent="0.3">
      <c r="A608" t="s">
        <v>1481</v>
      </c>
      <c r="B608" t="s">
        <v>49</v>
      </c>
      <c r="C608" t="s">
        <v>20</v>
      </c>
      <c r="D608" t="s">
        <v>41</v>
      </c>
      <c r="E608" t="s">
        <v>1482</v>
      </c>
      <c r="F608">
        <v>2019</v>
      </c>
      <c r="G608" t="s">
        <v>129</v>
      </c>
      <c r="H608" t="s">
        <v>24</v>
      </c>
      <c r="I608" t="s">
        <v>25</v>
      </c>
      <c r="J608">
        <v>17</v>
      </c>
      <c r="K608">
        <v>30908</v>
      </c>
      <c r="L608" t="s">
        <v>68</v>
      </c>
      <c r="M608" t="s">
        <v>80</v>
      </c>
      <c r="N608" t="s">
        <v>55</v>
      </c>
      <c r="O608" t="s">
        <v>118</v>
      </c>
      <c r="P608" t="s">
        <v>56</v>
      </c>
      <c r="Q608">
        <v>8.1999999999999993</v>
      </c>
      <c r="R608">
        <v>7</v>
      </c>
    </row>
    <row r="609" spans="1:18" x14ac:dyDescent="0.3">
      <c r="A609" t="s">
        <v>1483</v>
      </c>
      <c r="B609" t="s">
        <v>49</v>
      </c>
      <c r="C609" t="s">
        <v>32</v>
      </c>
      <c r="D609" t="s">
        <v>21</v>
      </c>
      <c r="E609" t="s">
        <v>1484</v>
      </c>
      <c r="F609">
        <v>2023</v>
      </c>
      <c r="G609" t="s">
        <v>751</v>
      </c>
      <c r="H609" t="s">
        <v>24</v>
      </c>
      <c r="I609" t="s">
        <v>53</v>
      </c>
      <c r="J609">
        <v>12.2</v>
      </c>
      <c r="K609">
        <v>39036</v>
      </c>
      <c r="L609" t="s">
        <v>101</v>
      </c>
      <c r="M609" t="s">
        <v>54</v>
      </c>
      <c r="N609" t="s">
        <v>62</v>
      </c>
      <c r="O609" t="s">
        <v>118</v>
      </c>
      <c r="P609" t="s">
        <v>74</v>
      </c>
      <c r="Q609">
        <v>7.5</v>
      </c>
      <c r="R609">
        <v>3</v>
      </c>
    </row>
    <row r="610" spans="1:18" x14ac:dyDescent="0.3">
      <c r="A610" t="s">
        <v>1485</v>
      </c>
      <c r="B610" t="s">
        <v>49</v>
      </c>
      <c r="C610" t="s">
        <v>32</v>
      </c>
      <c r="D610" t="s">
        <v>21</v>
      </c>
      <c r="E610" t="s">
        <v>1486</v>
      </c>
      <c r="F610">
        <v>2015</v>
      </c>
      <c r="G610" t="s">
        <v>686</v>
      </c>
      <c r="H610" t="s">
        <v>35</v>
      </c>
      <c r="I610" t="s">
        <v>53</v>
      </c>
      <c r="J610">
        <v>8.5</v>
      </c>
      <c r="K610">
        <v>11104</v>
      </c>
      <c r="L610" t="s">
        <v>101</v>
      </c>
      <c r="M610" t="s">
        <v>27</v>
      </c>
      <c r="N610" t="s">
        <v>55</v>
      </c>
      <c r="O610" t="s">
        <v>29</v>
      </c>
      <c r="P610" t="s">
        <v>30</v>
      </c>
      <c r="Q610">
        <v>1.1000000000000001</v>
      </c>
      <c r="R610">
        <v>11</v>
      </c>
    </row>
    <row r="611" spans="1:18" x14ac:dyDescent="0.3">
      <c r="A611" t="s">
        <v>1487</v>
      </c>
      <c r="B611" t="s">
        <v>40</v>
      </c>
      <c r="C611" t="s">
        <v>76</v>
      </c>
      <c r="D611" t="s">
        <v>41</v>
      </c>
      <c r="E611" t="s">
        <v>1488</v>
      </c>
      <c r="F611">
        <v>2016</v>
      </c>
      <c r="G611" t="s">
        <v>987</v>
      </c>
      <c r="H611" t="s">
        <v>24</v>
      </c>
      <c r="I611" t="s">
        <v>100</v>
      </c>
      <c r="J611">
        <v>7.5</v>
      </c>
      <c r="K611">
        <v>38132</v>
      </c>
      <c r="L611" t="s">
        <v>45</v>
      </c>
      <c r="M611" t="s">
        <v>27</v>
      </c>
      <c r="N611" t="s">
        <v>55</v>
      </c>
      <c r="O611" t="s">
        <v>46</v>
      </c>
      <c r="P611" t="s">
        <v>47</v>
      </c>
      <c r="Q611">
        <v>6.5</v>
      </c>
      <c r="R611">
        <v>10</v>
      </c>
    </row>
    <row r="612" spans="1:18" x14ac:dyDescent="0.3">
      <c r="A612" t="s">
        <v>1489</v>
      </c>
      <c r="B612" t="s">
        <v>58</v>
      </c>
      <c r="C612" t="s">
        <v>76</v>
      </c>
      <c r="D612" t="s">
        <v>50</v>
      </c>
      <c r="E612" t="s">
        <v>1490</v>
      </c>
      <c r="F612">
        <v>2021</v>
      </c>
      <c r="G612" t="s">
        <v>729</v>
      </c>
      <c r="H612" t="s">
        <v>24</v>
      </c>
      <c r="I612" t="s">
        <v>100</v>
      </c>
      <c r="J612">
        <v>2.7</v>
      </c>
      <c r="K612">
        <v>31496</v>
      </c>
      <c r="L612" t="s">
        <v>73</v>
      </c>
      <c r="M612" t="s">
        <v>80</v>
      </c>
      <c r="N612" t="s">
        <v>62</v>
      </c>
      <c r="O612" t="s">
        <v>29</v>
      </c>
      <c r="P612" t="s">
        <v>47</v>
      </c>
      <c r="Q612">
        <v>5</v>
      </c>
      <c r="R612">
        <v>5</v>
      </c>
    </row>
    <row r="613" spans="1:18" x14ac:dyDescent="0.3">
      <c r="A613" t="s">
        <v>1491</v>
      </c>
      <c r="B613" t="s">
        <v>49</v>
      </c>
      <c r="C613" t="s">
        <v>20</v>
      </c>
      <c r="D613" t="s">
        <v>41</v>
      </c>
      <c r="E613" t="s">
        <v>1492</v>
      </c>
      <c r="F613">
        <v>2025</v>
      </c>
      <c r="G613" t="s">
        <v>493</v>
      </c>
      <c r="H613" t="s">
        <v>35</v>
      </c>
      <c r="I613" t="s">
        <v>85</v>
      </c>
      <c r="J613">
        <v>2.4</v>
      </c>
      <c r="K613">
        <v>25721</v>
      </c>
      <c r="L613" t="s">
        <v>45</v>
      </c>
      <c r="M613" t="s">
        <v>37</v>
      </c>
      <c r="N613" t="s">
        <v>28</v>
      </c>
      <c r="O613" t="s">
        <v>46</v>
      </c>
      <c r="P613" t="s">
        <v>56</v>
      </c>
      <c r="Q613">
        <v>1.6</v>
      </c>
      <c r="R613">
        <v>1</v>
      </c>
    </row>
    <row r="614" spans="1:18" x14ac:dyDescent="0.3">
      <c r="A614" t="s">
        <v>1493</v>
      </c>
      <c r="B614" t="s">
        <v>70</v>
      </c>
      <c r="C614" t="s">
        <v>20</v>
      </c>
      <c r="D614" t="s">
        <v>82</v>
      </c>
      <c r="E614" t="s">
        <v>1494</v>
      </c>
      <c r="F614">
        <v>2018</v>
      </c>
      <c r="G614" t="s">
        <v>370</v>
      </c>
      <c r="H614" t="s">
        <v>24</v>
      </c>
      <c r="I614" t="s">
        <v>61</v>
      </c>
      <c r="J614">
        <v>3</v>
      </c>
      <c r="K614">
        <v>40141</v>
      </c>
      <c r="L614" t="s">
        <v>36</v>
      </c>
      <c r="M614" t="s">
        <v>80</v>
      </c>
      <c r="N614" t="s">
        <v>55</v>
      </c>
      <c r="O614" t="s">
        <v>118</v>
      </c>
      <c r="P614" t="s">
        <v>56</v>
      </c>
      <c r="Q614">
        <v>2.2000000000000002</v>
      </c>
      <c r="R614">
        <v>8</v>
      </c>
    </row>
    <row r="615" spans="1:18" x14ac:dyDescent="0.3">
      <c r="A615" t="s">
        <v>1495</v>
      </c>
      <c r="B615" t="s">
        <v>19</v>
      </c>
      <c r="C615" t="s">
        <v>112</v>
      </c>
      <c r="D615" t="s">
        <v>93</v>
      </c>
      <c r="E615" t="s">
        <v>1496</v>
      </c>
      <c r="F615">
        <v>2025</v>
      </c>
      <c r="G615" t="s">
        <v>776</v>
      </c>
      <c r="H615" t="s">
        <v>24</v>
      </c>
      <c r="I615" t="s">
        <v>44</v>
      </c>
      <c r="J615">
        <v>7.8</v>
      </c>
      <c r="K615">
        <v>39056</v>
      </c>
      <c r="L615" t="s">
        <v>68</v>
      </c>
      <c r="M615" t="s">
        <v>27</v>
      </c>
      <c r="N615" t="s">
        <v>55</v>
      </c>
      <c r="O615" t="s">
        <v>118</v>
      </c>
      <c r="P615" t="s">
        <v>47</v>
      </c>
      <c r="Q615">
        <v>8.4</v>
      </c>
      <c r="R615">
        <v>1</v>
      </c>
    </row>
    <row r="616" spans="1:18" x14ac:dyDescent="0.3">
      <c r="A616" t="s">
        <v>1497</v>
      </c>
      <c r="B616" t="s">
        <v>40</v>
      </c>
      <c r="C616" t="s">
        <v>32</v>
      </c>
      <c r="D616" t="s">
        <v>65</v>
      </c>
      <c r="E616" t="s">
        <v>1498</v>
      </c>
      <c r="F616">
        <v>2023</v>
      </c>
      <c r="G616" t="s">
        <v>645</v>
      </c>
      <c r="H616" t="s">
        <v>24</v>
      </c>
      <c r="I616" t="s">
        <v>85</v>
      </c>
      <c r="J616">
        <v>12.2</v>
      </c>
      <c r="K616">
        <v>11263</v>
      </c>
      <c r="L616" t="s">
        <v>101</v>
      </c>
      <c r="M616" t="s">
        <v>37</v>
      </c>
      <c r="N616" t="s">
        <v>28</v>
      </c>
      <c r="O616" t="s">
        <v>46</v>
      </c>
      <c r="P616" t="s">
        <v>38</v>
      </c>
      <c r="Q616">
        <v>6.4</v>
      </c>
      <c r="R616">
        <v>3</v>
      </c>
    </row>
    <row r="617" spans="1:18" x14ac:dyDescent="0.3">
      <c r="A617" t="s">
        <v>1499</v>
      </c>
      <c r="B617" t="s">
        <v>58</v>
      </c>
      <c r="C617" t="s">
        <v>20</v>
      </c>
      <c r="D617" t="s">
        <v>93</v>
      </c>
      <c r="E617" t="s">
        <v>1500</v>
      </c>
      <c r="F617">
        <v>2020</v>
      </c>
      <c r="G617" t="s">
        <v>573</v>
      </c>
      <c r="H617" t="s">
        <v>24</v>
      </c>
      <c r="I617" t="s">
        <v>25</v>
      </c>
      <c r="J617">
        <v>16.100000000000001</v>
      </c>
      <c r="K617">
        <v>19678</v>
      </c>
      <c r="L617" t="s">
        <v>101</v>
      </c>
      <c r="M617" t="s">
        <v>80</v>
      </c>
      <c r="N617" t="s">
        <v>28</v>
      </c>
      <c r="O617" t="s">
        <v>46</v>
      </c>
      <c r="P617" t="s">
        <v>30</v>
      </c>
      <c r="Q617">
        <v>5.9</v>
      </c>
      <c r="R617">
        <v>6</v>
      </c>
    </row>
    <row r="618" spans="1:18" x14ac:dyDescent="0.3">
      <c r="A618" t="s">
        <v>1501</v>
      </c>
      <c r="B618" t="s">
        <v>49</v>
      </c>
      <c r="C618" t="s">
        <v>112</v>
      </c>
      <c r="D618" t="s">
        <v>65</v>
      </c>
      <c r="E618" t="s">
        <v>1502</v>
      </c>
      <c r="F618">
        <v>2025</v>
      </c>
      <c r="G618" t="s">
        <v>410</v>
      </c>
      <c r="H618" t="s">
        <v>35</v>
      </c>
      <c r="I618" t="s">
        <v>61</v>
      </c>
      <c r="J618">
        <v>17.2</v>
      </c>
      <c r="K618">
        <v>37009</v>
      </c>
      <c r="L618" t="s">
        <v>45</v>
      </c>
      <c r="M618" t="s">
        <v>80</v>
      </c>
      <c r="N618" t="s">
        <v>62</v>
      </c>
      <c r="O618" t="s">
        <v>46</v>
      </c>
      <c r="P618" t="s">
        <v>56</v>
      </c>
      <c r="Q618">
        <v>7.6</v>
      </c>
      <c r="R618">
        <v>1</v>
      </c>
    </row>
    <row r="619" spans="1:18" x14ac:dyDescent="0.3">
      <c r="A619" t="s">
        <v>1503</v>
      </c>
      <c r="B619" t="s">
        <v>19</v>
      </c>
      <c r="C619" t="s">
        <v>32</v>
      </c>
      <c r="D619" t="s">
        <v>21</v>
      </c>
      <c r="E619" t="s">
        <v>1504</v>
      </c>
      <c r="F619">
        <v>2022</v>
      </c>
      <c r="G619" t="s">
        <v>1042</v>
      </c>
      <c r="H619" t="s">
        <v>96</v>
      </c>
      <c r="I619" t="s">
        <v>53</v>
      </c>
      <c r="J619">
        <v>14.3</v>
      </c>
      <c r="K619">
        <v>17575</v>
      </c>
      <c r="L619" t="s">
        <v>101</v>
      </c>
      <c r="M619" t="s">
        <v>27</v>
      </c>
      <c r="N619" t="s">
        <v>28</v>
      </c>
      <c r="O619" t="s">
        <v>46</v>
      </c>
      <c r="P619" t="s">
        <v>74</v>
      </c>
      <c r="Q619">
        <v>3.5</v>
      </c>
      <c r="R619">
        <v>4</v>
      </c>
    </row>
    <row r="620" spans="1:18" x14ac:dyDescent="0.3">
      <c r="A620" t="s">
        <v>1505</v>
      </c>
      <c r="B620" t="s">
        <v>58</v>
      </c>
      <c r="C620" t="s">
        <v>112</v>
      </c>
      <c r="D620" t="s">
        <v>77</v>
      </c>
      <c r="E620" t="s">
        <v>1506</v>
      </c>
      <c r="F620">
        <v>2023</v>
      </c>
      <c r="G620" t="s">
        <v>139</v>
      </c>
      <c r="H620" t="s">
        <v>24</v>
      </c>
      <c r="I620" t="s">
        <v>85</v>
      </c>
      <c r="J620">
        <v>0.9</v>
      </c>
      <c r="K620">
        <v>36096</v>
      </c>
      <c r="L620" t="s">
        <v>68</v>
      </c>
      <c r="M620" t="s">
        <v>27</v>
      </c>
      <c r="N620" t="s">
        <v>55</v>
      </c>
      <c r="O620" t="s">
        <v>29</v>
      </c>
      <c r="P620" t="s">
        <v>30</v>
      </c>
      <c r="Q620">
        <v>9.8000000000000007</v>
      </c>
      <c r="R620">
        <v>3</v>
      </c>
    </row>
    <row r="621" spans="1:18" x14ac:dyDescent="0.3">
      <c r="A621" t="s">
        <v>1507</v>
      </c>
      <c r="B621" t="s">
        <v>70</v>
      </c>
      <c r="C621" t="s">
        <v>64</v>
      </c>
      <c r="D621" t="s">
        <v>21</v>
      </c>
      <c r="E621" t="s">
        <v>1508</v>
      </c>
      <c r="F621">
        <v>2022</v>
      </c>
      <c r="G621" t="s">
        <v>1066</v>
      </c>
      <c r="H621" t="s">
        <v>24</v>
      </c>
      <c r="I621" t="s">
        <v>44</v>
      </c>
      <c r="J621">
        <v>3.2</v>
      </c>
      <c r="K621">
        <v>28191</v>
      </c>
      <c r="L621" t="s">
        <v>101</v>
      </c>
      <c r="M621" t="s">
        <v>54</v>
      </c>
      <c r="N621" t="s">
        <v>28</v>
      </c>
      <c r="O621" t="s">
        <v>46</v>
      </c>
      <c r="P621" t="s">
        <v>86</v>
      </c>
      <c r="Q621">
        <v>2.2000000000000002</v>
      </c>
      <c r="R621">
        <v>4</v>
      </c>
    </row>
    <row r="622" spans="1:18" x14ac:dyDescent="0.3">
      <c r="A622" t="s">
        <v>1509</v>
      </c>
      <c r="B622" t="s">
        <v>70</v>
      </c>
      <c r="C622" t="s">
        <v>76</v>
      </c>
      <c r="D622" t="s">
        <v>41</v>
      </c>
      <c r="E622" t="s">
        <v>1510</v>
      </c>
      <c r="F622">
        <v>2025</v>
      </c>
      <c r="G622" t="s">
        <v>1511</v>
      </c>
      <c r="H622" t="s">
        <v>24</v>
      </c>
      <c r="I622" t="s">
        <v>85</v>
      </c>
      <c r="J622">
        <v>16.100000000000001</v>
      </c>
      <c r="K622">
        <v>18403</v>
      </c>
      <c r="L622" t="s">
        <v>36</v>
      </c>
      <c r="M622" t="s">
        <v>80</v>
      </c>
      <c r="N622" t="s">
        <v>28</v>
      </c>
      <c r="O622" t="s">
        <v>29</v>
      </c>
      <c r="P622" t="s">
        <v>56</v>
      </c>
      <c r="Q622">
        <v>7.6</v>
      </c>
      <c r="R622">
        <v>1</v>
      </c>
    </row>
    <row r="623" spans="1:18" x14ac:dyDescent="0.3">
      <c r="A623" t="s">
        <v>1512</v>
      </c>
      <c r="B623" t="s">
        <v>58</v>
      </c>
      <c r="C623" t="s">
        <v>32</v>
      </c>
      <c r="D623" t="s">
        <v>50</v>
      </c>
      <c r="E623" t="s">
        <v>1513</v>
      </c>
      <c r="F623">
        <v>2023</v>
      </c>
      <c r="G623" t="s">
        <v>695</v>
      </c>
      <c r="H623" t="s">
        <v>35</v>
      </c>
      <c r="I623" t="s">
        <v>44</v>
      </c>
      <c r="J623">
        <v>5.2</v>
      </c>
      <c r="K623">
        <v>22362</v>
      </c>
      <c r="L623" t="s">
        <v>36</v>
      </c>
      <c r="M623" t="s">
        <v>27</v>
      </c>
      <c r="N623" t="s">
        <v>28</v>
      </c>
      <c r="O623" t="s">
        <v>118</v>
      </c>
      <c r="P623" t="s">
        <v>30</v>
      </c>
      <c r="Q623">
        <v>4.4000000000000004</v>
      </c>
      <c r="R623">
        <v>3</v>
      </c>
    </row>
    <row r="624" spans="1:18" x14ac:dyDescent="0.3">
      <c r="A624" t="s">
        <v>1514</v>
      </c>
      <c r="B624" t="s">
        <v>70</v>
      </c>
      <c r="C624" t="s">
        <v>32</v>
      </c>
      <c r="D624" t="s">
        <v>93</v>
      </c>
      <c r="E624" t="s">
        <v>1515</v>
      </c>
      <c r="F624">
        <v>2017</v>
      </c>
      <c r="G624" t="s">
        <v>1042</v>
      </c>
      <c r="H624" t="s">
        <v>35</v>
      </c>
      <c r="I624" t="s">
        <v>61</v>
      </c>
      <c r="J624">
        <v>13.9</v>
      </c>
      <c r="K624">
        <v>44200</v>
      </c>
      <c r="L624" t="s">
        <v>73</v>
      </c>
      <c r="M624" t="s">
        <v>37</v>
      </c>
      <c r="N624" t="s">
        <v>62</v>
      </c>
      <c r="O624" t="s">
        <v>118</v>
      </c>
      <c r="P624" t="s">
        <v>47</v>
      </c>
      <c r="Q624">
        <v>1.3</v>
      </c>
      <c r="R624">
        <v>9</v>
      </c>
    </row>
    <row r="625" spans="1:18" x14ac:dyDescent="0.3">
      <c r="A625" t="s">
        <v>1516</v>
      </c>
      <c r="B625" t="s">
        <v>40</v>
      </c>
      <c r="C625" t="s">
        <v>64</v>
      </c>
      <c r="D625" t="s">
        <v>77</v>
      </c>
      <c r="E625" t="s">
        <v>1517</v>
      </c>
      <c r="F625">
        <v>2024</v>
      </c>
      <c r="G625" t="s">
        <v>1372</v>
      </c>
      <c r="H625" t="s">
        <v>35</v>
      </c>
      <c r="I625" t="s">
        <v>61</v>
      </c>
      <c r="J625">
        <v>14.2</v>
      </c>
      <c r="K625">
        <v>36727</v>
      </c>
      <c r="L625" t="s">
        <v>36</v>
      </c>
      <c r="M625" t="s">
        <v>27</v>
      </c>
      <c r="N625" t="s">
        <v>28</v>
      </c>
      <c r="O625" t="s">
        <v>29</v>
      </c>
      <c r="P625" t="s">
        <v>47</v>
      </c>
      <c r="Q625">
        <v>9.6</v>
      </c>
      <c r="R625">
        <v>2</v>
      </c>
    </row>
    <row r="626" spans="1:18" x14ac:dyDescent="0.3">
      <c r="A626" t="s">
        <v>1518</v>
      </c>
      <c r="B626" t="s">
        <v>40</v>
      </c>
      <c r="C626" t="s">
        <v>112</v>
      </c>
      <c r="D626" t="s">
        <v>41</v>
      </c>
      <c r="E626" t="s">
        <v>1519</v>
      </c>
      <c r="F626">
        <v>2023</v>
      </c>
      <c r="G626" t="s">
        <v>347</v>
      </c>
      <c r="H626" t="s">
        <v>96</v>
      </c>
      <c r="I626" t="s">
        <v>85</v>
      </c>
      <c r="J626">
        <v>5.3</v>
      </c>
      <c r="K626">
        <v>17942</v>
      </c>
      <c r="L626" t="s">
        <v>101</v>
      </c>
      <c r="M626" t="s">
        <v>27</v>
      </c>
      <c r="N626" t="s">
        <v>55</v>
      </c>
      <c r="O626" t="s">
        <v>46</v>
      </c>
      <c r="P626" t="s">
        <v>56</v>
      </c>
      <c r="Q626">
        <v>6.1</v>
      </c>
      <c r="R626">
        <v>3</v>
      </c>
    </row>
    <row r="627" spans="1:18" x14ac:dyDescent="0.3">
      <c r="A627" t="s">
        <v>1520</v>
      </c>
      <c r="B627" t="s">
        <v>19</v>
      </c>
      <c r="C627" t="s">
        <v>64</v>
      </c>
      <c r="D627" t="s">
        <v>65</v>
      </c>
      <c r="E627" t="s">
        <v>1521</v>
      </c>
      <c r="F627">
        <v>2022</v>
      </c>
      <c r="G627" t="s">
        <v>373</v>
      </c>
      <c r="H627" t="s">
        <v>35</v>
      </c>
      <c r="I627" t="s">
        <v>44</v>
      </c>
      <c r="J627">
        <v>5.8</v>
      </c>
      <c r="K627">
        <v>27406</v>
      </c>
      <c r="L627" t="s">
        <v>101</v>
      </c>
      <c r="M627" t="s">
        <v>80</v>
      </c>
      <c r="N627" t="s">
        <v>28</v>
      </c>
      <c r="O627" t="s">
        <v>46</v>
      </c>
      <c r="P627" t="s">
        <v>74</v>
      </c>
      <c r="Q627">
        <v>10</v>
      </c>
      <c r="R627">
        <v>4</v>
      </c>
    </row>
    <row r="628" spans="1:18" x14ac:dyDescent="0.3">
      <c r="A628" t="s">
        <v>1522</v>
      </c>
      <c r="B628" t="s">
        <v>49</v>
      </c>
      <c r="C628" t="s">
        <v>32</v>
      </c>
      <c r="D628" t="s">
        <v>50</v>
      </c>
      <c r="E628" t="s">
        <v>1523</v>
      </c>
      <c r="F628">
        <v>2020</v>
      </c>
      <c r="G628" t="s">
        <v>310</v>
      </c>
      <c r="H628" t="s">
        <v>24</v>
      </c>
      <c r="I628" t="s">
        <v>25</v>
      </c>
      <c r="J628">
        <v>17</v>
      </c>
      <c r="K628">
        <v>43126</v>
      </c>
      <c r="L628" t="s">
        <v>68</v>
      </c>
      <c r="M628" t="s">
        <v>27</v>
      </c>
      <c r="N628" t="s">
        <v>55</v>
      </c>
      <c r="O628" t="s">
        <v>29</v>
      </c>
      <c r="P628" t="s">
        <v>38</v>
      </c>
      <c r="Q628">
        <v>9.8000000000000007</v>
      </c>
      <c r="R628">
        <v>6</v>
      </c>
    </row>
    <row r="629" spans="1:18" x14ac:dyDescent="0.3">
      <c r="A629" t="s">
        <v>1524</v>
      </c>
      <c r="B629" t="s">
        <v>58</v>
      </c>
      <c r="C629" t="s">
        <v>32</v>
      </c>
      <c r="D629" t="s">
        <v>77</v>
      </c>
      <c r="E629" t="s">
        <v>1525</v>
      </c>
      <c r="F629">
        <v>2019</v>
      </c>
      <c r="G629" t="s">
        <v>310</v>
      </c>
      <c r="H629" t="s">
        <v>24</v>
      </c>
      <c r="I629" t="s">
        <v>25</v>
      </c>
      <c r="J629">
        <v>2.8</v>
      </c>
      <c r="K629">
        <v>1634</v>
      </c>
      <c r="L629" t="s">
        <v>45</v>
      </c>
      <c r="M629" t="s">
        <v>27</v>
      </c>
      <c r="N629" t="s">
        <v>28</v>
      </c>
      <c r="O629" t="s">
        <v>29</v>
      </c>
      <c r="P629" t="s">
        <v>38</v>
      </c>
      <c r="Q629">
        <v>2.1</v>
      </c>
      <c r="R629">
        <v>7</v>
      </c>
    </row>
    <row r="630" spans="1:18" x14ac:dyDescent="0.3">
      <c r="A630" t="s">
        <v>1526</v>
      </c>
      <c r="B630" t="s">
        <v>58</v>
      </c>
      <c r="C630" t="s">
        <v>76</v>
      </c>
      <c r="D630" t="s">
        <v>93</v>
      </c>
      <c r="E630" t="s">
        <v>1527</v>
      </c>
      <c r="F630">
        <v>2022</v>
      </c>
      <c r="G630" t="s">
        <v>1276</v>
      </c>
      <c r="H630" t="s">
        <v>24</v>
      </c>
      <c r="I630" t="s">
        <v>25</v>
      </c>
      <c r="J630">
        <v>11.9</v>
      </c>
      <c r="K630">
        <v>36800</v>
      </c>
      <c r="L630" t="s">
        <v>26</v>
      </c>
      <c r="M630" t="s">
        <v>27</v>
      </c>
      <c r="N630" t="s">
        <v>62</v>
      </c>
      <c r="O630" t="s">
        <v>29</v>
      </c>
      <c r="P630" t="s">
        <v>86</v>
      </c>
      <c r="Q630">
        <v>9.6999999999999993</v>
      </c>
      <c r="R630">
        <v>4</v>
      </c>
    </row>
    <row r="631" spans="1:18" x14ac:dyDescent="0.3">
      <c r="A631" t="s">
        <v>1528</v>
      </c>
      <c r="B631" t="s">
        <v>70</v>
      </c>
      <c r="C631" t="s">
        <v>76</v>
      </c>
      <c r="D631" t="s">
        <v>21</v>
      </c>
      <c r="E631" t="s">
        <v>1529</v>
      </c>
      <c r="F631">
        <v>2020</v>
      </c>
      <c r="G631" t="s">
        <v>331</v>
      </c>
      <c r="H631" t="s">
        <v>35</v>
      </c>
      <c r="I631" t="s">
        <v>25</v>
      </c>
      <c r="J631">
        <v>17.7</v>
      </c>
      <c r="K631">
        <v>9676</v>
      </c>
      <c r="L631" t="s">
        <v>36</v>
      </c>
      <c r="M631" t="s">
        <v>37</v>
      </c>
      <c r="N631" t="s">
        <v>28</v>
      </c>
      <c r="O631" t="s">
        <v>118</v>
      </c>
      <c r="P631" t="s">
        <v>30</v>
      </c>
      <c r="Q631">
        <v>2.6</v>
      </c>
      <c r="R631">
        <v>6</v>
      </c>
    </row>
    <row r="632" spans="1:18" x14ac:dyDescent="0.3">
      <c r="A632" t="s">
        <v>1530</v>
      </c>
      <c r="B632" t="s">
        <v>70</v>
      </c>
      <c r="C632" t="s">
        <v>20</v>
      </c>
      <c r="D632" t="s">
        <v>21</v>
      </c>
      <c r="E632" t="s">
        <v>1531</v>
      </c>
      <c r="F632">
        <v>2014</v>
      </c>
      <c r="G632" t="s">
        <v>360</v>
      </c>
      <c r="H632" t="s">
        <v>24</v>
      </c>
      <c r="I632" t="s">
        <v>100</v>
      </c>
      <c r="J632">
        <v>11.4</v>
      </c>
      <c r="K632">
        <v>15993</v>
      </c>
      <c r="L632" t="s">
        <v>73</v>
      </c>
      <c r="M632" t="s">
        <v>27</v>
      </c>
      <c r="N632" t="s">
        <v>55</v>
      </c>
      <c r="O632" t="s">
        <v>29</v>
      </c>
      <c r="P632" t="s">
        <v>86</v>
      </c>
      <c r="Q632">
        <v>5.2</v>
      </c>
      <c r="R632">
        <v>12</v>
      </c>
    </row>
    <row r="633" spans="1:18" x14ac:dyDescent="0.3">
      <c r="A633" t="s">
        <v>1532</v>
      </c>
      <c r="B633" t="s">
        <v>49</v>
      </c>
      <c r="C633" t="s">
        <v>64</v>
      </c>
      <c r="D633" t="s">
        <v>41</v>
      </c>
      <c r="E633" t="s">
        <v>1533</v>
      </c>
      <c r="F633">
        <v>2025</v>
      </c>
      <c r="G633" t="s">
        <v>635</v>
      </c>
      <c r="H633" t="s">
        <v>24</v>
      </c>
      <c r="I633" t="s">
        <v>25</v>
      </c>
      <c r="J633">
        <v>7.4</v>
      </c>
      <c r="K633">
        <v>19676</v>
      </c>
      <c r="L633" t="s">
        <v>45</v>
      </c>
      <c r="M633" t="s">
        <v>27</v>
      </c>
      <c r="N633" t="s">
        <v>28</v>
      </c>
      <c r="O633" t="s">
        <v>46</v>
      </c>
      <c r="P633" t="s">
        <v>56</v>
      </c>
      <c r="Q633">
        <v>6.8</v>
      </c>
      <c r="R633">
        <v>1</v>
      </c>
    </row>
    <row r="634" spans="1:18" x14ac:dyDescent="0.3">
      <c r="A634" t="s">
        <v>1534</v>
      </c>
      <c r="B634" t="s">
        <v>49</v>
      </c>
      <c r="C634" t="s">
        <v>32</v>
      </c>
      <c r="D634" t="s">
        <v>21</v>
      </c>
      <c r="E634" t="s">
        <v>1535</v>
      </c>
      <c r="F634">
        <v>2023</v>
      </c>
      <c r="G634" t="s">
        <v>341</v>
      </c>
      <c r="H634" t="s">
        <v>24</v>
      </c>
      <c r="I634" t="s">
        <v>61</v>
      </c>
      <c r="J634">
        <v>13.6</v>
      </c>
      <c r="K634">
        <v>9851</v>
      </c>
      <c r="L634" t="s">
        <v>68</v>
      </c>
      <c r="M634" t="s">
        <v>54</v>
      </c>
      <c r="N634" t="s">
        <v>62</v>
      </c>
      <c r="O634" t="s">
        <v>46</v>
      </c>
      <c r="P634" t="s">
        <v>86</v>
      </c>
      <c r="Q634">
        <v>2.2999999999999998</v>
      </c>
      <c r="R634">
        <v>3</v>
      </c>
    </row>
    <row r="635" spans="1:18" x14ac:dyDescent="0.3">
      <c r="A635" t="s">
        <v>1536</v>
      </c>
      <c r="B635" t="s">
        <v>49</v>
      </c>
      <c r="C635" t="s">
        <v>32</v>
      </c>
      <c r="D635" t="s">
        <v>77</v>
      </c>
      <c r="E635" t="s">
        <v>1537</v>
      </c>
      <c r="F635">
        <v>2024</v>
      </c>
      <c r="G635" t="s">
        <v>352</v>
      </c>
      <c r="H635" t="s">
        <v>35</v>
      </c>
      <c r="I635" t="s">
        <v>85</v>
      </c>
      <c r="J635">
        <v>0.5</v>
      </c>
      <c r="K635">
        <v>29491</v>
      </c>
      <c r="L635" t="s">
        <v>101</v>
      </c>
      <c r="M635" t="s">
        <v>80</v>
      </c>
      <c r="N635" t="s">
        <v>55</v>
      </c>
      <c r="O635" t="s">
        <v>118</v>
      </c>
      <c r="P635" t="s">
        <v>47</v>
      </c>
      <c r="Q635">
        <v>3.1</v>
      </c>
      <c r="R635">
        <v>2</v>
      </c>
    </row>
    <row r="636" spans="1:18" x14ac:dyDescent="0.3">
      <c r="A636" t="s">
        <v>1538</v>
      </c>
      <c r="B636" t="s">
        <v>58</v>
      </c>
      <c r="C636" t="s">
        <v>76</v>
      </c>
      <c r="D636" t="s">
        <v>77</v>
      </c>
      <c r="E636" t="s">
        <v>1539</v>
      </c>
      <c r="F636">
        <v>2024</v>
      </c>
      <c r="G636" t="s">
        <v>253</v>
      </c>
      <c r="H636" t="s">
        <v>35</v>
      </c>
      <c r="I636" t="s">
        <v>44</v>
      </c>
      <c r="J636">
        <v>16</v>
      </c>
      <c r="K636">
        <v>16215</v>
      </c>
      <c r="L636" t="s">
        <v>26</v>
      </c>
      <c r="M636" t="s">
        <v>37</v>
      </c>
      <c r="N636" t="s">
        <v>55</v>
      </c>
      <c r="O636" t="s">
        <v>46</v>
      </c>
      <c r="P636" t="s">
        <v>47</v>
      </c>
      <c r="Q636">
        <v>3.5</v>
      </c>
      <c r="R636">
        <v>2</v>
      </c>
    </row>
    <row r="637" spans="1:18" x14ac:dyDescent="0.3">
      <c r="A637" t="s">
        <v>1540</v>
      </c>
      <c r="B637" t="s">
        <v>70</v>
      </c>
      <c r="C637" t="s">
        <v>112</v>
      </c>
      <c r="D637" t="s">
        <v>93</v>
      </c>
      <c r="E637" t="s">
        <v>1541</v>
      </c>
      <c r="F637">
        <v>2020</v>
      </c>
      <c r="G637" t="s">
        <v>560</v>
      </c>
      <c r="H637" t="s">
        <v>35</v>
      </c>
      <c r="I637" t="s">
        <v>25</v>
      </c>
      <c r="J637">
        <v>4.4000000000000004</v>
      </c>
      <c r="K637">
        <v>29275</v>
      </c>
      <c r="L637" t="s">
        <v>26</v>
      </c>
      <c r="M637" t="s">
        <v>54</v>
      </c>
      <c r="N637" t="s">
        <v>28</v>
      </c>
      <c r="O637" t="s">
        <v>29</v>
      </c>
      <c r="P637" t="s">
        <v>86</v>
      </c>
      <c r="Q637">
        <v>3.5</v>
      </c>
      <c r="R637">
        <v>6</v>
      </c>
    </row>
    <row r="638" spans="1:18" x14ac:dyDescent="0.3">
      <c r="A638" t="s">
        <v>1542</v>
      </c>
      <c r="B638" t="s">
        <v>19</v>
      </c>
      <c r="C638" t="s">
        <v>112</v>
      </c>
      <c r="D638" t="s">
        <v>82</v>
      </c>
      <c r="E638" t="s">
        <v>1543</v>
      </c>
      <c r="F638">
        <v>2024</v>
      </c>
      <c r="G638" t="s">
        <v>201</v>
      </c>
      <c r="H638" t="s">
        <v>24</v>
      </c>
      <c r="I638" t="s">
        <v>44</v>
      </c>
      <c r="J638">
        <v>10.9</v>
      </c>
      <c r="K638">
        <v>42545</v>
      </c>
      <c r="L638" t="s">
        <v>68</v>
      </c>
      <c r="M638" t="s">
        <v>37</v>
      </c>
      <c r="N638" t="s">
        <v>28</v>
      </c>
      <c r="O638" t="s">
        <v>29</v>
      </c>
      <c r="P638" t="s">
        <v>47</v>
      </c>
      <c r="Q638">
        <v>2.8</v>
      </c>
      <c r="R638">
        <v>2</v>
      </c>
    </row>
    <row r="639" spans="1:18" x14ac:dyDescent="0.3">
      <c r="A639" t="s">
        <v>1544</v>
      </c>
      <c r="B639" t="s">
        <v>70</v>
      </c>
      <c r="C639" t="s">
        <v>32</v>
      </c>
      <c r="D639" t="s">
        <v>50</v>
      </c>
      <c r="E639" t="s">
        <v>1545</v>
      </c>
      <c r="F639">
        <v>2019</v>
      </c>
      <c r="G639" t="s">
        <v>475</v>
      </c>
      <c r="H639" t="s">
        <v>24</v>
      </c>
      <c r="I639" t="s">
        <v>44</v>
      </c>
      <c r="J639">
        <v>14.1</v>
      </c>
      <c r="K639">
        <v>42103</v>
      </c>
      <c r="L639" t="s">
        <v>36</v>
      </c>
      <c r="M639" t="s">
        <v>80</v>
      </c>
      <c r="N639" t="s">
        <v>62</v>
      </c>
      <c r="O639" t="s">
        <v>118</v>
      </c>
      <c r="P639" t="s">
        <v>74</v>
      </c>
      <c r="Q639">
        <v>1.7</v>
      </c>
      <c r="R639">
        <v>7</v>
      </c>
    </row>
    <row r="640" spans="1:18" x14ac:dyDescent="0.3">
      <c r="A640" t="s">
        <v>1546</v>
      </c>
      <c r="B640" t="s">
        <v>58</v>
      </c>
      <c r="C640" t="s">
        <v>20</v>
      </c>
      <c r="D640" t="s">
        <v>50</v>
      </c>
      <c r="E640" t="s">
        <v>1547</v>
      </c>
      <c r="F640">
        <v>2014</v>
      </c>
      <c r="G640" t="s">
        <v>290</v>
      </c>
      <c r="H640" t="s">
        <v>35</v>
      </c>
      <c r="I640" t="s">
        <v>61</v>
      </c>
      <c r="J640">
        <v>1.6</v>
      </c>
      <c r="K640">
        <v>30461</v>
      </c>
      <c r="L640" t="s">
        <v>26</v>
      </c>
      <c r="M640" t="s">
        <v>37</v>
      </c>
      <c r="N640" t="s">
        <v>62</v>
      </c>
      <c r="O640" t="s">
        <v>46</v>
      </c>
      <c r="P640" t="s">
        <v>47</v>
      </c>
      <c r="Q640">
        <v>1.1000000000000001</v>
      </c>
      <c r="R640">
        <v>12</v>
      </c>
    </row>
    <row r="641" spans="1:18" x14ac:dyDescent="0.3">
      <c r="A641" t="s">
        <v>1548</v>
      </c>
      <c r="B641" t="s">
        <v>49</v>
      </c>
      <c r="C641" t="s">
        <v>112</v>
      </c>
      <c r="D641" t="s">
        <v>77</v>
      </c>
      <c r="E641" t="s">
        <v>1549</v>
      </c>
      <c r="F641">
        <v>2024</v>
      </c>
      <c r="G641" t="s">
        <v>1511</v>
      </c>
      <c r="H641" t="s">
        <v>35</v>
      </c>
      <c r="I641" t="s">
        <v>85</v>
      </c>
      <c r="J641">
        <v>2.2000000000000002</v>
      </c>
      <c r="K641">
        <v>28442</v>
      </c>
      <c r="L641" t="s">
        <v>73</v>
      </c>
      <c r="M641" t="s">
        <v>80</v>
      </c>
      <c r="N641" t="s">
        <v>55</v>
      </c>
      <c r="O641" t="s">
        <v>118</v>
      </c>
      <c r="P641" t="s">
        <v>47</v>
      </c>
      <c r="Q641">
        <v>8.1</v>
      </c>
      <c r="R641">
        <v>2</v>
      </c>
    </row>
    <row r="642" spans="1:18" x14ac:dyDescent="0.3">
      <c r="A642" t="s">
        <v>1550</v>
      </c>
      <c r="B642" t="s">
        <v>19</v>
      </c>
      <c r="C642" t="s">
        <v>20</v>
      </c>
      <c r="D642" t="s">
        <v>65</v>
      </c>
      <c r="E642" t="s">
        <v>1551</v>
      </c>
      <c r="F642">
        <v>2023</v>
      </c>
      <c r="G642" t="s">
        <v>1154</v>
      </c>
      <c r="H642" t="s">
        <v>96</v>
      </c>
      <c r="I642" t="s">
        <v>44</v>
      </c>
      <c r="J642">
        <v>8.4</v>
      </c>
      <c r="K642">
        <v>23008</v>
      </c>
      <c r="L642" t="s">
        <v>45</v>
      </c>
      <c r="M642" t="s">
        <v>54</v>
      </c>
      <c r="N642" t="s">
        <v>28</v>
      </c>
      <c r="O642" t="s">
        <v>29</v>
      </c>
      <c r="P642" t="s">
        <v>30</v>
      </c>
      <c r="Q642">
        <v>6.2</v>
      </c>
      <c r="R642">
        <v>3</v>
      </c>
    </row>
    <row r="643" spans="1:18" x14ac:dyDescent="0.3">
      <c r="A643" t="s">
        <v>1552</v>
      </c>
      <c r="B643" t="s">
        <v>40</v>
      </c>
      <c r="C643" t="s">
        <v>32</v>
      </c>
      <c r="D643" t="s">
        <v>21</v>
      </c>
      <c r="E643" t="s">
        <v>1553</v>
      </c>
      <c r="F643">
        <v>2015</v>
      </c>
      <c r="G643" t="s">
        <v>1248</v>
      </c>
      <c r="H643" t="s">
        <v>35</v>
      </c>
      <c r="I643" t="s">
        <v>53</v>
      </c>
      <c r="J643">
        <v>6.7</v>
      </c>
      <c r="K643">
        <v>33048</v>
      </c>
      <c r="L643" t="s">
        <v>101</v>
      </c>
      <c r="M643" t="s">
        <v>27</v>
      </c>
      <c r="N643" t="s">
        <v>28</v>
      </c>
      <c r="O643" t="s">
        <v>29</v>
      </c>
      <c r="P643" t="s">
        <v>56</v>
      </c>
      <c r="Q643">
        <v>8.1</v>
      </c>
      <c r="R643">
        <v>11</v>
      </c>
    </row>
    <row r="644" spans="1:18" x14ac:dyDescent="0.3">
      <c r="A644" t="s">
        <v>1554</v>
      </c>
      <c r="B644" t="s">
        <v>70</v>
      </c>
      <c r="C644" t="s">
        <v>32</v>
      </c>
      <c r="D644" t="s">
        <v>82</v>
      </c>
      <c r="E644" t="s">
        <v>1555</v>
      </c>
      <c r="F644">
        <v>2014</v>
      </c>
      <c r="G644" t="s">
        <v>1171</v>
      </c>
      <c r="H644" t="s">
        <v>35</v>
      </c>
      <c r="I644" t="s">
        <v>25</v>
      </c>
      <c r="J644">
        <v>13.7</v>
      </c>
      <c r="K644">
        <v>21894</v>
      </c>
      <c r="L644" t="s">
        <v>45</v>
      </c>
      <c r="M644" t="s">
        <v>54</v>
      </c>
      <c r="N644" t="s">
        <v>28</v>
      </c>
      <c r="O644" t="s">
        <v>118</v>
      </c>
      <c r="P644" t="s">
        <v>86</v>
      </c>
      <c r="Q644">
        <v>6.2</v>
      </c>
      <c r="R644">
        <v>12</v>
      </c>
    </row>
    <row r="645" spans="1:18" x14ac:dyDescent="0.3">
      <c r="A645" t="s">
        <v>1556</v>
      </c>
      <c r="B645" t="s">
        <v>19</v>
      </c>
      <c r="C645" t="s">
        <v>32</v>
      </c>
      <c r="D645" t="s">
        <v>93</v>
      </c>
      <c r="E645" t="s">
        <v>1557</v>
      </c>
      <c r="F645">
        <v>2018</v>
      </c>
      <c r="G645" t="s">
        <v>472</v>
      </c>
      <c r="H645" t="s">
        <v>35</v>
      </c>
      <c r="I645" t="s">
        <v>61</v>
      </c>
      <c r="J645">
        <v>1.5</v>
      </c>
      <c r="K645">
        <v>34733</v>
      </c>
      <c r="L645" t="s">
        <v>45</v>
      </c>
      <c r="M645" t="s">
        <v>80</v>
      </c>
      <c r="N645" t="s">
        <v>55</v>
      </c>
      <c r="O645" t="s">
        <v>118</v>
      </c>
      <c r="P645" t="s">
        <v>56</v>
      </c>
      <c r="Q645">
        <v>9.8000000000000007</v>
      </c>
      <c r="R645">
        <v>8</v>
      </c>
    </row>
    <row r="646" spans="1:18" x14ac:dyDescent="0.3">
      <c r="A646" t="s">
        <v>1558</v>
      </c>
      <c r="B646" t="s">
        <v>19</v>
      </c>
      <c r="C646" t="s">
        <v>20</v>
      </c>
      <c r="D646" t="s">
        <v>21</v>
      </c>
      <c r="E646" t="s">
        <v>1559</v>
      </c>
      <c r="F646">
        <v>2024</v>
      </c>
      <c r="G646" t="s">
        <v>926</v>
      </c>
      <c r="H646" t="s">
        <v>35</v>
      </c>
      <c r="I646" t="s">
        <v>25</v>
      </c>
      <c r="J646">
        <v>12.6</v>
      </c>
      <c r="K646">
        <v>32131</v>
      </c>
      <c r="L646" t="s">
        <v>45</v>
      </c>
      <c r="M646" t="s">
        <v>37</v>
      </c>
      <c r="N646" t="s">
        <v>62</v>
      </c>
      <c r="O646" t="s">
        <v>46</v>
      </c>
      <c r="P646" t="s">
        <v>86</v>
      </c>
      <c r="Q646">
        <v>6.4</v>
      </c>
      <c r="R646">
        <v>2</v>
      </c>
    </row>
    <row r="647" spans="1:18" x14ac:dyDescent="0.3">
      <c r="A647" t="s">
        <v>1560</v>
      </c>
      <c r="B647" t="s">
        <v>40</v>
      </c>
      <c r="C647" t="s">
        <v>112</v>
      </c>
      <c r="D647" t="s">
        <v>82</v>
      </c>
      <c r="E647" t="s">
        <v>1561</v>
      </c>
      <c r="F647">
        <v>2020</v>
      </c>
      <c r="G647" t="s">
        <v>269</v>
      </c>
      <c r="H647" t="s">
        <v>96</v>
      </c>
      <c r="I647" t="s">
        <v>44</v>
      </c>
      <c r="J647">
        <v>9.1999999999999993</v>
      </c>
      <c r="K647">
        <v>1742</v>
      </c>
      <c r="L647" t="s">
        <v>101</v>
      </c>
      <c r="M647" t="s">
        <v>54</v>
      </c>
      <c r="N647" t="s">
        <v>62</v>
      </c>
      <c r="O647" t="s">
        <v>29</v>
      </c>
      <c r="P647" t="s">
        <v>47</v>
      </c>
      <c r="Q647">
        <v>6.4</v>
      </c>
      <c r="R647">
        <v>6</v>
      </c>
    </row>
    <row r="648" spans="1:18" x14ac:dyDescent="0.3">
      <c r="A648" t="s">
        <v>1562</v>
      </c>
      <c r="B648" t="s">
        <v>70</v>
      </c>
      <c r="C648" t="s">
        <v>76</v>
      </c>
      <c r="D648" t="s">
        <v>21</v>
      </c>
      <c r="E648" t="s">
        <v>1563</v>
      </c>
      <c r="F648">
        <v>2017</v>
      </c>
      <c r="G648" t="s">
        <v>741</v>
      </c>
      <c r="H648" t="s">
        <v>24</v>
      </c>
      <c r="I648" t="s">
        <v>44</v>
      </c>
      <c r="J648">
        <v>6.8</v>
      </c>
      <c r="K648">
        <v>6332</v>
      </c>
      <c r="L648" t="s">
        <v>68</v>
      </c>
      <c r="M648" t="s">
        <v>80</v>
      </c>
      <c r="N648" t="s">
        <v>62</v>
      </c>
      <c r="O648" t="s">
        <v>29</v>
      </c>
      <c r="P648" t="s">
        <v>56</v>
      </c>
      <c r="Q648">
        <v>3.3</v>
      </c>
      <c r="R648">
        <v>9</v>
      </c>
    </row>
    <row r="649" spans="1:18" x14ac:dyDescent="0.3">
      <c r="A649" t="s">
        <v>1564</v>
      </c>
      <c r="B649" t="s">
        <v>49</v>
      </c>
      <c r="C649" t="s">
        <v>20</v>
      </c>
      <c r="D649" t="s">
        <v>41</v>
      </c>
      <c r="E649" t="s">
        <v>1565</v>
      </c>
      <c r="F649">
        <v>2017</v>
      </c>
      <c r="G649" t="s">
        <v>256</v>
      </c>
      <c r="H649" t="s">
        <v>96</v>
      </c>
      <c r="I649" t="s">
        <v>61</v>
      </c>
      <c r="J649">
        <v>4</v>
      </c>
      <c r="K649">
        <v>12912</v>
      </c>
      <c r="L649" t="s">
        <v>73</v>
      </c>
      <c r="M649" t="s">
        <v>37</v>
      </c>
      <c r="N649" t="s">
        <v>62</v>
      </c>
      <c r="O649" t="s">
        <v>29</v>
      </c>
      <c r="P649" t="s">
        <v>86</v>
      </c>
      <c r="Q649">
        <v>8.6</v>
      </c>
      <c r="R649">
        <v>9</v>
      </c>
    </row>
    <row r="650" spans="1:18" x14ac:dyDescent="0.3">
      <c r="A650" t="s">
        <v>1566</v>
      </c>
      <c r="B650" t="s">
        <v>40</v>
      </c>
      <c r="C650" t="s">
        <v>112</v>
      </c>
      <c r="D650" t="s">
        <v>21</v>
      </c>
      <c r="E650" t="s">
        <v>1567</v>
      </c>
      <c r="F650">
        <v>2017</v>
      </c>
      <c r="G650" t="s">
        <v>1436</v>
      </c>
      <c r="H650" t="s">
        <v>35</v>
      </c>
      <c r="I650" t="s">
        <v>44</v>
      </c>
      <c r="J650">
        <v>0.9</v>
      </c>
      <c r="K650">
        <v>10494</v>
      </c>
      <c r="L650" t="s">
        <v>36</v>
      </c>
      <c r="M650" t="s">
        <v>80</v>
      </c>
      <c r="N650" t="s">
        <v>55</v>
      </c>
      <c r="O650" t="s">
        <v>29</v>
      </c>
      <c r="P650" t="s">
        <v>86</v>
      </c>
      <c r="Q650">
        <v>4.8</v>
      </c>
      <c r="R650">
        <v>9</v>
      </c>
    </row>
    <row r="651" spans="1:18" x14ac:dyDescent="0.3">
      <c r="A651" t="s">
        <v>1568</v>
      </c>
      <c r="B651" t="s">
        <v>70</v>
      </c>
      <c r="C651" t="s">
        <v>64</v>
      </c>
      <c r="D651" t="s">
        <v>93</v>
      </c>
      <c r="E651" t="s">
        <v>1569</v>
      </c>
      <c r="F651">
        <v>2019</v>
      </c>
      <c r="G651" t="s">
        <v>1161</v>
      </c>
      <c r="H651" t="s">
        <v>96</v>
      </c>
      <c r="I651" t="s">
        <v>100</v>
      </c>
      <c r="J651">
        <v>15.9</v>
      </c>
      <c r="K651">
        <v>5784</v>
      </c>
      <c r="L651" t="s">
        <v>26</v>
      </c>
      <c r="M651" t="s">
        <v>54</v>
      </c>
      <c r="N651" t="s">
        <v>28</v>
      </c>
      <c r="O651" t="s">
        <v>29</v>
      </c>
      <c r="P651" t="s">
        <v>56</v>
      </c>
      <c r="Q651">
        <v>5.6</v>
      </c>
      <c r="R651">
        <v>7</v>
      </c>
    </row>
    <row r="652" spans="1:18" x14ac:dyDescent="0.3">
      <c r="A652" t="s">
        <v>1570</v>
      </c>
      <c r="B652" t="s">
        <v>70</v>
      </c>
      <c r="C652" t="s">
        <v>32</v>
      </c>
      <c r="D652" t="s">
        <v>82</v>
      </c>
      <c r="E652" t="s">
        <v>1571</v>
      </c>
      <c r="F652">
        <v>2025</v>
      </c>
      <c r="G652" t="s">
        <v>370</v>
      </c>
      <c r="H652" t="s">
        <v>96</v>
      </c>
      <c r="I652" t="s">
        <v>61</v>
      </c>
      <c r="J652">
        <v>16.600000000000001</v>
      </c>
      <c r="K652">
        <v>41872</v>
      </c>
      <c r="L652" t="s">
        <v>45</v>
      </c>
      <c r="M652" t="s">
        <v>54</v>
      </c>
      <c r="N652" t="s">
        <v>62</v>
      </c>
      <c r="O652" t="s">
        <v>118</v>
      </c>
      <c r="P652" t="s">
        <v>56</v>
      </c>
      <c r="Q652">
        <v>3.6</v>
      </c>
      <c r="R652">
        <v>1</v>
      </c>
    </row>
    <row r="653" spans="1:18" x14ac:dyDescent="0.3">
      <c r="A653" t="s">
        <v>1572</v>
      </c>
      <c r="B653" t="s">
        <v>70</v>
      </c>
      <c r="C653" t="s">
        <v>64</v>
      </c>
      <c r="D653" t="s">
        <v>50</v>
      </c>
      <c r="E653" t="s">
        <v>1573</v>
      </c>
      <c r="F653">
        <v>2014</v>
      </c>
      <c r="G653" t="s">
        <v>256</v>
      </c>
      <c r="H653" t="s">
        <v>35</v>
      </c>
      <c r="I653" t="s">
        <v>100</v>
      </c>
      <c r="J653">
        <v>16</v>
      </c>
      <c r="K653">
        <v>15212</v>
      </c>
      <c r="L653" t="s">
        <v>101</v>
      </c>
      <c r="M653" t="s">
        <v>80</v>
      </c>
      <c r="N653" t="s">
        <v>55</v>
      </c>
      <c r="O653" t="s">
        <v>46</v>
      </c>
      <c r="P653" t="s">
        <v>74</v>
      </c>
      <c r="Q653">
        <v>1.1000000000000001</v>
      </c>
      <c r="R653">
        <v>12</v>
      </c>
    </row>
    <row r="654" spans="1:18" x14ac:dyDescent="0.3">
      <c r="A654" t="s">
        <v>1574</v>
      </c>
      <c r="B654" t="s">
        <v>49</v>
      </c>
      <c r="C654" t="s">
        <v>20</v>
      </c>
      <c r="D654" t="s">
        <v>82</v>
      </c>
      <c r="E654" t="s">
        <v>1575</v>
      </c>
      <c r="F654">
        <v>2022</v>
      </c>
      <c r="G654" t="s">
        <v>537</v>
      </c>
      <c r="H654" t="s">
        <v>35</v>
      </c>
      <c r="I654" t="s">
        <v>61</v>
      </c>
      <c r="J654">
        <v>6.1</v>
      </c>
      <c r="K654">
        <v>26002</v>
      </c>
      <c r="L654" t="s">
        <v>45</v>
      </c>
      <c r="M654" t="s">
        <v>27</v>
      </c>
      <c r="N654" t="s">
        <v>62</v>
      </c>
      <c r="O654" t="s">
        <v>118</v>
      </c>
      <c r="P654" t="s">
        <v>47</v>
      </c>
      <c r="Q654">
        <v>3</v>
      </c>
      <c r="R654">
        <v>4</v>
      </c>
    </row>
    <row r="655" spans="1:18" x14ac:dyDescent="0.3">
      <c r="A655" t="s">
        <v>1576</v>
      </c>
      <c r="B655" t="s">
        <v>49</v>
      </c>
      <c r="C655" t="s">
        <v>112</v>
      </c>
      <c r="D655" t="s">
        <v>21</v>
      </c>
      <c r="E655" t="s">
        <v>1577</v>
      </c>
      <c r="F655">
        <v>2020</v>
      </c>
      <c r="G655" t="s">
        <v>1003</v>
      </c>
      <c r="H655" t="s">
        <v>24</v>
      </c>
      <c r="I655" t="s">
        <v>61</v>
      </c>
      <c r="J655">
        <v>8.4</v>
      </c>
      <c r="K655">
        <v>16860</v>
      </c>
      <c r="L655" t="s">
        <v>36</v>
      </c>
      <c r="M655" t="s">
        <v>54</v>
      </c>
      <c r="N655" t="s">
        <v>55</v>
      </c>
      <c r="O655" t="s">
        <v>118</v>
      </c>
      <c r="P655" t="s">
        <v>47</v>
      </c>
      <c r="Q655">
        <v>5.9</v>
      </c>
      <c r="R655">
        <v>6</v>
      </c>
    </row>
    <row r="656" spans="1:18" x14ac:dyDescent="0.3">
      <c r="A656" t="s">
        <v>1578</v>
      </c>
      <c r="B656" t="s">
        <v>49</v>
      </c>
      <c r="C656" t="s">
        <v>112</v>
      </c>
      <c r="D656" t="s">
        <v>21</v>
      </c>
      <c r="E656" t="s">
        <v>1579</v>
      </c>
      <c r="F656">
        <v>2019</v>
      </c>
      <c r="G656" t="s">
        <v>1580</v>
      </c>
      <c r="H656" t="s">
        <v>35</v>
      </c>
      <c r="I656" t="s">
        <v>53</v>
      </c>
      <c r="J656">
        <v>8.3000000000000007</v>
      </c>
      <c r="K656">
        <v>24540</v>
      </c>
      <c r="L656" t="s">
        <v>73</v>
      </c>
      <c r="M656" t="s">
        <v>80</v>
      </c>
      <c r="N656" t="s">
        <v>55</v>
      </c>
      <c r="O656" t="s">
        <v>46</v>
      </c>
      <c r="P656" t="s">
        <v>74</v>
      </c>
      <c r="Q656">
        <v>3.7</v>
      </c>
      <c r="R656">
        <v>7</v>
      </c>
    </row>
    <row r="657" spans="1:18" x14ac:dyDescent="0.3">
      <c r="A657" t="s">
        <v>1581</v>
      </c>
      <c r="B657" t="s">
        <v>58</v>
      </c>
      <c r="C657" t="s">
        <v>76</v>
      </c>
      <c r="D657" t="s">
        <v>77</v>
      </c>
      <c r="E657" t="s">
        <v>1582</v>
      </c>
      <c r="F657">
        <v>2021</v>
      </c>
      <c r="G657" t="s">
        <v>783</v>
      </c>
      <c r="H657" t="s">
        <v>35</v>
      </c>
      <c r="I657" t="s">
        <v>53</v>
      </c>
      <c r="J657">
        <v>5.3</v>
      </c>
      <c r="K657">
        <v>3119</v>
      </c>
      <c r="L657" t="s">
        <v>73</v>
      </c>
      <c r="M657" t="s">
        <v>27</v>
      </c>
      <c r="N657" t="s">
        <v>28</v>
      </c>
      <c r="O657" t="s">
        <v>118</v>
      </c>
      <c r="P657" t="s">
        <v>38</v>
      </c>
      <c r="Q657">
        <v>1.2</v>
      </c>
      <c r="R657">
        <v>5</v>
      </c>
    </row>
    <row r="658" spans="1:18" x14ac:dyDescent="0.3">
      <c r="A658" t="s">
        <v>1583</v>
      </c>
      <c r="B658" t="s">
        <v>49</v>
      </c>
      <c r="C658" t="s">
        <v>32</v>
      </c>
      <c r="D658" t="s">
        <v>93</v>
      </c>
      <c r="E658" t="s">
        <v>1584</v>
      </c>
      <c r="F658">
        <v>2015</v>
      </c>
      <c r="G658" t="s">
        <v>278</v>
      </c>
      <c r="H658" t="s">
        <v>35</v>
      </c>
      <c r="I658" t="s">
        <v>53</v>
      </c>
      <c r="J658">
        <v>16.7</v>
      </c>
      <c r="K658">
        <v>7949</v>
      </c>
      <c r="L658" t="s">
        <v>26</v>
      </c>
      <c r="M658" t="s">
        <v>80</v>
      </c>
      <c r="N658" t="s">
        <v>55</v>
      </c>
      <c r="O658" t="s">
        <v>29</v>
      </c>
      <c r="P658" t="s">
        <v>74</v>
      </c>
      <c r="Q658">
        <v>2.4</v>
      </c>
      <c r="R658">
        <v>11</v>
      </c>
    </row>
    <row r="659" spans="1:18" x14ac:dyDescent="0.3">
      <c r="A659" t="s">
        <v>1585</v>
      </c>
      <c r="B659" t="s">
        <v>70</v>
      </c>
      <c r="C659" t="s">
        <v>20</v>
      </c>
      <c r="D659" t="s">
        <v>77</v>
      </c>
      <c r="E659" t="s">
        <v>1586</v>
      </c>
      <c r="F659">
        <v>2017</v>
      </c>
      <c r="G659" t="s">
        <v>341</v>
      </c>
      <c r="H659" t="s">
        <v>35</v>
      </c>
      <c r="I659" t="s">
        <v>25</v>
      </c>
      <c r="J659">
        <v>15.3</v>
      </c>
      <c r="K659">
        <v>13993</v>
      </c>
      <c r="L659" t="s">
        <v>101</v>
      </c>
      <c r="M659" t="s">
        <v>54</v>
      </c>
      <c r="N659" t="s">
        <v>62</v>
      </c>
      <c r="O659" t="s">
        <v>46</v>
      </c>
      <c r="P659" t="s">
        <v>74</v>
      </c>
      <c r="Q659">
        <v>9.1999999999999993</v>
      </c>
      <c r="R659">
        <v>9</v>
      </c>
    </row>
    <row r="660" spans="1:18" x14ac:dyDescent="0.3">
      <c r="A660" t="s">
        <v>1587</v>
      </c>
      <c r="B660" t="s">
        <v>70</v>
      </c>
      <c r="C660" t="s">
        <v>20</v>
      </c>
      <c r="D660" t="s">
        <v>50</v>
      </c>
      <c r="E660" t="s">
        <v>1588</v>
      </c>
      <c r="F660">
        <v>2014</v>
      </c>
      <c r="G660" t="s">
        <v>1049</v>
      </c>
      <c r="H660" t="s">
        <v>24</v>
      </c>
      <c r="I660" t="s">
        <v>85</v>
      </c>
      <c r="J660">
        <v>17.100000000000001</v>
      </c>
      <c r="K660">
        <v>39507</v>
      </c>
      <c r="L660" t="s">
        <v>101</v>
      </c>
      <c r="M660" t="s">
        <v>80</v>
      </c>
      <c r="N660" t="s">
        <v>55</v>
      </c>
      <c r="O660" t="s">
        <v>46</v>
      </c>
      <c r="P660" t="s">
        <v>74</v>
      </c>
      <c r="Q660">
        <v>9.9</v>
      </c>
      <c r="R660">
        <v>12</v>
      </c>
    </row>
    <row r="661" spans="1:18" x14ac:dyDescent="0.3">
      <c r="A661" t="s">
        <v>1589</v>
      </c>
      <c r="B661" t="s">
        <v>40</v>
      </c>
      <c r="C661" t="s">
        <v>64</v>
      </c>
      <c r="D661" t="s">
        <v>65</v>
      </c>
      <c r="E661" t="s">
        <v>1590</v>
      </c>
      <c r="F661">
        <v>2016</v>
      </c>
      <c r="G661" t="s">
        <v>272</v>
      </c>
      <c r="H661" t="s">
        <v>35</v>
      </c>
      <c r="I661" t="s">
        <v>85</v>
      </c>
      <c r="J661">
        <v>4.5999999999999996</v>
      </c>
      <c r="K661">
        <v>39969</v>
      </c>
      <c r="L661" t="s">
        <v>45</v>
      </c>
      <c r="M661" t="s">
        <v>27</v>
      </c>
      <c r="N661" t="s">
        <v>62</v>
      </c>
      <c r="O661" t="s">
        <v>118</v>
      </c>
      <c r="P661" t="s">
        <v>86</v>
      </c>
      <c r="Q661">
        <v>8</v>
      </c>
      <c r="R661">
        <v>10</v>
      </c>
    </row>
    <row r="662" spans="1:18" x14ac:dyDescent="0.3">
      <c r="A662" t="s">
        <v>1591</v>
      </c>
      <c r="B662" t="s">
        <v>58</v>
      </c>
      <c r="C662" t="s">
        <v>76</v>
      </c>
      <c r="D662" t="s">
        <v>21</v>
      </c>
      <c r="E662" t="s">
        <v>1592</v>
      </c>
      <c r="F662">
        <v>2019</v>
      </c>
      <c r="G662" t="s">
        <v>1268</v>
      </c>
      <c r="H662" t="s">
        <v>24</v>
      </c>
      <c r="I662" t="s">
        <v>100</v>
      </c>
      <c r="J662">
        <v>1</v>
      </c>
      <c r="K662">
        <v>10606</v>
      </c>
      <c r="L662" t="s">
        <v>45</v>
      </c>
      <c r="M662" t="s">
        <v>54</v>
      </c>
      <c r="N662" t="s">
        <v>55</v>
      </c>
      <c r="O662" t="s">
        <v>46</v>
      </c>
      <c r="P662" t="s">
        <v>30</v>
      </c>
      <c r="Q662">
        <v>5.2</v>
      </c>
      <c r="R662">
        <v>7</v>
      </c>
    </row>
    <row r="663" spans="1:18" x14ac:dyDescent="0.3">
      <c r="A663" t="s">
        <v>1593</v>
      </c>
      <c r="B663" t="s">
        <v>70</v>
      </c>
      <c r="C663" t="s">
        <v>64</v>
      </c>
      <c r="D663" t="s">
        <v>82</v>
      </c>
      <c r="E663" t="s">
        <v>1594</v>
      </c>
      <c r="F663">
        <v>2024</v>
      </c>
      <c r="G663" t="s">
        <v>1183</v>
      </c>
      <c r="H663" t="s">
        <v>24</v>
      </c>
      <c r="I663" t="s">
        <v>85</v>
      </c>
      <c r="J663">
        <v>13.8</v>
      </c>
      <c r="K663">
        <v>36732</v>
      </c>
      <c r="L663" t="s">
        <v>68</v>
      </c>
      <c r="M663" t="s">
        <v>37</v>
      </c>
      <c r="N663" t="s">
        <v>62</v>
      </c>
      <c r="O663" t="s">
        <v>29</v>
      </c>
      <c r="P663" t="s">
        <v>74</v>
      </c>
      <c r="Q663">
        <v>8</v>
      </c>
      <c r="R663">
        <v>2</v>
      </c>
    </row>
    <row r="664" spans="1:18" x14ac:dyDescent="0.3">
      <c r="A664" t="s">
        <v>1595</v>
      </c>
      <c r="B664" t="s">
        <v>70</v>
      </c>
      <c r="C664" t="s">
        <v>32</v>
      </c>
      <c r="D664" t="s">
        <v>65</v>
      </c>
      <c r="E664" t="s">
        <v>1596</v>
      </c>
      <c r="F664">
        <v>2016</v>
      </c>
      <c r="G664" t="s">
        <v>43</v>
      </c>
      <c r="H664" t="s">
        <v>35</v>
      </c>
      <c r="I664" t="s">
        <v>100</v>
      </c>
      <c r="J664">
        <v>10.5</v>
      </c>
      <c r="K664">
        <v>27117</v>
      </c>
      <c r="L664" t="s">
        <v>36</v>
      </c>
      <c r="M664" t="s">
        <v>54</v>
      </c>
      <c r="N664" t="s">
        <v>55</v>
      </c>
      <c r="O664" t="s">
        <v>29</v>
      </c>
      <c r="P664" t="s">
        <v>74</v>
      </c>
      <c r="Q664">
        <v>4.2</v>
      </c>
      <c r="R664">
        <v>10</v>
      </c>
    </row>
    <row r="665" spans="1:18" x14ac:dyDescent="0.3">
      <c r="A665" t="s">
        <v>1597</v>
      </c>
      <c r="B665" t="s">
        <v>70</v>
      </c>
      <c r="C665" t="s">
        <v>32</v>
      </c>
      <c r="D665" t="s">
        <v>82</v>
      </c>
      <c r="E665" t="s">
        <v>1598</v>
      </c>
      <c r="F665">
        <v>2021</v>
      </c>
      <c r="G665" t="s">
        <v>763</v>
      </c>
      <c r="H665" t="s">
        <v>35</v>
      </c>
      <c r="I665" t="s">
        <v>53</v>
      </c>
      <c r="J665">
        <v>2.1</v>
      </c>
      <c r="K665">
        <v>8336</v>
      </c>
      <c r="L665" t="s">
        <v>101</v>
      </c>
      <c r="M665" t="s">
        <v>54</v>
      </c>
      <c r="N665" t="s">
        <v>28</v>
      </c>
      <c r="O665" t="s">
        <v>46</v>
      </c>
      <c r="P665" t="s">
        <v>74</v>
      </c>
      <c r="Q665">
        <v>5.0999999999999996</v>
      </c>
      <c r="R665">
        <v>5</v>
      </c>
    </row>
    <row r="666" spans="1:18" x14ac:dyDescent="0.3">
      <c r="A666" t="s">
        <v>1599</v>
      </c>
      <c r="B666" t="s">
        <v>19</v>
      </c>
      <c r="C666" t="s">
        <v>76</v>
      </c>
      <c r="D666" t="s">
        <v>77</v>
      </c>
      <c r="E666" t="s">
        <v>1600</v>
      </c>
      <c r="F666">
        <v>2016</v>
      </c>
      <c r="G666" t="s">
        <v>444</v>
      </c>
      <c r="H666" t="s">
        <v>24</v>
      </c>
      <c r="I666" t="s">
        <v>53</v>
      </c>
      <c r="J666">
        <v>12</v>
      </c>
      <c r="K666">
        <v>6086</v>
      </c>
      <c r="L666" t="s">
        <v>36</v>
      </c>
      <c r="M666" t="s">
        <v>80</v>
      </c>
      <c r="N666" t="s">
        <v>55</v>
      </c>
      <c r="O666" t="s">
        <v>46</v>
      </c>
      <c r="P666" t="s">
        <v>30</v>
      </c>
      <c r="Q666">
        <v>2.1</v>
      </c>
      <c r="R666">
        <v>10</v>
      </c>
    </row>
    <row r="667" spans="1:18" x14ac:dyDescent="0.3">
      <c r="A667" t="s">
        <v>1601</v>
      </c>
      <c r="B667" t="s">
        <v>40</v>
      </c>
      <c r="C667" t="s">
        <v>112</v>
      </c>
      <c r="D667" t="s">
        <v>21</v>
      </c>
      <c r="E667" t="s">
        <v>1602</v>
      </c>
      <c r="F667">
        <v>2020</v>
      </c>
      <c r="G667" t="s">
        <v>523</v>
      </c>
      <c r="H667" t="s">
        <v>35</v>
      </c>
      <c r="I667" t="s">
        <v>85</v>
      </c>
      <c r="J667">
        <v>13.5</v>
      </c>
      <c r="K667">
        <v>26993</v>
      </c>
      <c r="L667" t="s">
        <v>73</v>
      </c>
      <c r="M667" t="s">
        <v>54</v>
      </c>
      <c r="N667" t="s">
        <v>28</v>
      </c>
      <c r="O667" t="s">
        <v>118</v>
      </c>
      <c r="P667" t="s">
        <v>47</v>
      </c>
      <c r="Q667">
        <v>8.3000000000000007</v>
      </c>
      <c r="R667">
        <v>6</v>
      </c>
    </row>
    <row r="668" spans="1:18" x14ac:dyDescent="0.3">
      <c r="A668" t="s">
        <v>1603</v>
      </c>
      <c r="B668" t="s">
        <v>40</v>
      </c>
      <c r="C668" t="s">
        <v>32</v>
      </c>
      <c r="D668" t="s">
        <v>93</v>
      </c>
      <c r="E668" t="s">
        <v>1604</v>
      </c>
      <c r="F668">
        <v>2024</v>
      </c>
      <c r="G668" t="s">
        <v>987</v>
      </c>
      <c r="H668" t="s">
        <v>96</v>
      </c>
      <c r="I668" t="s">
        <v>100</v>
      </c>
      <c r="J668">
        <v>4.0999999999999996</v>
      </c>
      <c r="K668">
        <v>31578</v>
      </c>
      <c r="L668" t="s">
        <v>68</v>
      </c>
      <c r="M668" t="s">
        <v>54</v>
      </c>
      <c r="N668" t="s">
        <v>28</v>
      </c>
      <c r="O668" t="s">
        <v>29</v>
      </c>
      <c r="P668" t="s">
        <v>47</v>
      </c>
      <c r="Q668">
        <v>1.1000000000000001</v>
      </c>
      <c r="R668">
        <v>2</v>
      </c>
    </row>
    <row r="669" spans="1:18" x14ac:dyDescent="0.3">
      <c r="A669" t="s">
        <v>1605</v>
      </c>
      <c r="B669" t="s">
        <v>40</v>
      </c>
      <c r="C669" t="s">
        <v>32</v>
      </c>
      <c r="D669" t="s">
        <v>77</v>
      </c>
      <c r="E669" t="s">
        <v>1606</v>
      </c>
      <c r="F669">
        <v>2020</v>
      </c>
      <c r="G669" t="s">
        <v>34</v>
      </c>
      <c r="H669" t="s">
        <v>96</v>
      </c>
      <c r="I669" t="s">
        <v>85</v>
      </c>
      <c r="J669">
        <v>8.6</v>
      </c>
      <c r="K669">
        <v>39257</v>
      </c>
      <c r="L669" t="s">
        <v>26</v>
      </c>
      <c r="M669" t="s">
        <v>80</v>
      </c>
      <c r="N669" t="s">
        <v>55</v>
      </c>
      <c r="O669" t="s">
        <v>46</v>
      </c>
      <c r="P669" t="s">
        <v>47</v>
      </c>
      <c r="Q669">
        <v>3.8</v>
      </c>
      <c r="R669">
        <v>6</v>
      </c>
    </row>
    <row r="670" spans="1:18" x14ac:dyDescent="0.3">
      <c r="A670" t="s">
        <v>1607</v>
      </c>
      <c r="B670" t="s">
        <v>70</v>
      </c>
      <c r="C670" t="s">
        <v>76</v>
      </c>
      <c r="D670" t="s">
        <v>93</v>
      </c>
      <c r="E670" t="s">
        <v>1608</v>
      </c>
      <c r="F670">
        <v>2025</v>
      </c>
      <c r="G670" t="s">
        <v>215</v>
      </c>
      <c r="H670" t="s">
        <v>35</v>
      </c>
      <c r="I670" t="s">
        <v>61</v>
      </c>
      <c r="J670">
        <v>7.8</v>
      </c>
      <c r="K670">
        <v>13268</v>
      </c>
      <c r="L670" t="s">
        <v>45</v>
      </c>
      <c r="M670" t="s">
        <v>27</v>
      </c>
      <c r="N670" t="s">
        <v>55</v>
      </c>
      <c r="O670" t="s">
        <v>118</v>
      </c>
      <c r="P670" t="s">
        <v>38</v>
      </c>
      <c r="Q670">
        <v>2.2000000000000002</v>
      </c>
      <c r="R670">
        <v>1</v>
      </c>
    </row>
    <row r="671" spans="1:18" x14ac:dyDescent="0.3">
      <c r="A671" t="s">
        <v>1609</v>
      </c>
      <c r="B671" t="s">
        <v>58</v>
      </c>
      <c r="C671" t="s">
        <v>112</v>
      </c>
      <c r="D671" t="s">
        <v>21</v>
      </c>
      <c r="E671" t="s">
        <v>1610</v>
      </c>
      <c r="F671">
        <v>2023</v>
      </c>
      <c r="G671" t="s">
        <v>504</v>
      </c>
      <c r="H671" t="s">
        <v>96</v>
      </c>
      <c r="I671" t="s">
        <v>61</v>
      </c>
      <c r="J671">
        <v>5.3</v>
      </c>
      <c r="K671">
        <v>42662</v>
      </c>
      <c r="L671" t="s">
        <v>45</v>
      </c>
      <c r="M671" t="s">
        <v>37</v>
      </c>
      <c r="N671" t="s">
        <v>62</v>
      </c>
      <c r="O671" t="s">
        <v>29</v>
      </c>
      <c r="P671" t="s">
        <v>38</v>
      </c>
      <c r="Q671">
        <v>7.4</v>
      </c>
      <c r="R671">
        <v>3</v>
      </c>
    </row>
    <row r="672" spans="1:18" x14ac:dyDescent="0.3">
      <c r="A672" t="s">
        <v>1611</v>
      </c>
      <c r="B672" t="s">
        <v>58</v>
      </c>
      <c r="C672" t="s">
        <v>32</v>
      </c>
      <c r="D672" t="s">
        <v>41</v>
      </c>
      <c r="E672" t="s">
        <v>1612</v>
      </c>
      <c r="F672">
        <v>2017</v>
      </c>
      <c r="G672" t="s">
        <v>171</v>
      </c>
      <c r="H672" t="s">
        <v>96</v>
      </c>
      <c r="I672" t="s">
        <v>44</v>
      </c>
      <c r="J672">
        <v>13.7</v>
      </c>
      <c r="K672">
        <v>34556</v>
      </c>
      <c r="L672" t="s">
        <v>68</v>
      </c>
      <c r="M672" t="s">
        <v>27</v>
      </c>
      <c r="N672" t="s">
        <v>55</v>
      </c>
      <c r="O672" t="s">
        <v>29</v>
      </c>
      <c r="P672" t="s">
        <v>86</v>
      </c>
      <c r="Q672">
        <v>2.5</v>
      </c>
      <c r="R672">
        <v>9</v>
      </c>
    </row>
    <row r="673" spans="1:18" x14ac:dyDescent="0.3">
      <c r="A673" t="s">
        <v>1613</v>
      </c>
      <c r="B673" t="s">
        <v>19</v>
      </c>
      <c r="C673" t="s">
        <v>112</v>
      </c>
      <c r="D673" t="s">
        <v>65</v>
      </c>
      <c r="E673" t="s">
        <v>1614</v>
      </c>
      <c r="F673">
        <v>2014</v>
      </c>
      <c r="G673" t="s">
        <v>386</v>
      </c>
      <c r="H673" t="s">
        <v>35</v>
      </c>
      <c r="I673" t="s">
        <v>25</v>
      </c>
      <c r="J673">
        <v>8.6</v>
      </c>
      <c r="K673">
        <v>24021</v>
      </c>
      <c r="L673" t="s">
        <v>101</v>
      </c>
      <c r="M673" t="s">
        <v>27</v>
      </c>
      <c r="N673" t="s">
        <v>28</v>
      </c>
      <c r="O673" t="s">
        <v>118</v>
      </c>
      <c r="P673" t="s">
        <v>30</v>
      </c>
      <c r="Q673">
        <v>0.6</v>
      </c>
      <c r="R673">
        <v>12</v>
      </c>
    </row>
    <row r="674" spans="1:18" x14ac:dyDescent="0.3">
      <c r="A674" t="s">
        <v>1615</v>
      </c>
      <c r="B674" t="s">
        <v>40</v>
      </c>
      <c r="C674" t="s">
        <v>20</v>
      </c>
      <c r="D674" t="s">
        <v>65</v>
      </c>
      <c r="E674" t="s">
        <v>1616</v>
      </c>
      <c r="F674">
        <v>2015</v>
      </c>
      <c r="G674" t="s">
        <v>376</v>
      </c>
      <c r="H674" t="s">
        <v>35</v>
      </c>
      <c r="I674" t="s">
        <v>85</v>
      </c>
      <c r="J674">
        <v>8.6</v>
      </c>
      <c r="K674">
        <v>6909</v>
      </c>
      <c r="L674" t="s">
        <v>45</v>
      </c>
      <c r="M674" t="s">
        <v>54</v>
      </c>
      <c r="N674" t="s">
        <v>62</v>
      </c>
      <c r="O674" t="s">
        <v>118</v>
      </c>
      <c r="P674" t="s">
        <v>56</v>
      </c>
      <c r="Q674">
        <v>5</v>
      </c>
      <c r="R674">
        <v>11</v>
      </c>
    </row>
    <row r="675" spans="1:18" x14ac:dyDescent="0.3">
      <c r="A675" t="s">
        <v>1617</v>
      </c>
      <c r="B675" t="s">
        <v>40</v>
      </c>
      <c r="C675" t="s">
        <v>112</v>
      </c>
      <c r="D675" t="s">
        <v>93</v>
      </c>
      <c r="E675" t="s">
        <v>1618</v>
      </c>
      <c r="F675">
        <v>2018</v>
      </c>
      <c r="G675" t="s">
        <v>941</v>
      </c>
      <c r="H675" t="s">
        <v>24</v>
      </c>
      <c r="I675" t="s">
        <v>53</v>
      </c>
      <c r="J675">
        <v>2.7</v>
      </c>
      <c r="K675">
        <v>27114</v>
      </c>
      <c r="L675" t="s">
        <v>73</v>
      </c>
      <c r="M675" t="s">
        <v>80</v>
      </c>
      <c r="N675" t="s">
        <v>62</v>
      </c>
      <c r="O675" t="s">
        <v>29</v>
      </c>
      <c r="P675" t="s">
        <v>38</v>
      </c>
      <c r="Q675">
        <v>3.1</v>
      </c>
      <c r="R675">
        <v>8</v>
      </c>
    </row>
    <row r="676" spans="1:18" x14ac:dyDescent="0.3">
      <c r="A676" t="s">
        <v>1619</v>
      </c>
      <c r="B676" t="s">
        <v>40</v>
      </c>
      <c r="C676" t="s">
        <v>64</v>
      </c>
      <c r="D676" t="s">
        <v>65</v>
      </c>
      <c r="E676" t="s">
        <v>1620</v>
      </c>
      <c r="F676">
        <v>2021</v>
      </c>
      <c r="G676" t="s">
        <v>808</v>
      </c>
      <c r="H676" t="s">
        <v>24</v>
      </c>
      <c r="I676" t="s">
        <v>25</v>
      </c>
      <c r="J676">
        <v>9.8000000000000007</v>
      </c>
      <c r="K676">
        <v>30470</v>
      </c>
      <c r="L676" t="s">
        <v>101</v>
      </c>
      <c r="M676" t="s">
        <v>80</v>
      </c>
      <c r="N676" t="s">
        <v>62</v>
      </c>
      <c r="O676" t="s">
        <v>46</v>
      </c>
      <c r="P676" t="s">
        <v>38</v>
      </c>
      <c r="Q676">
        <v>6.8</v>
      </c>
      <c r="R676">
        <v>5</v>
      </c>
    </row>
    <row r="677" spans="1:18" x14ac:dyDescent="0.3">
      <c r="A677" t="s">
        <v>1621</v>
      </c>
      <c r="B677" t="s">
        <v>58</v>
      </c>
      <c r="C677" t="s">
        <v>20</v>
      </c>
      <c r="D677" t="s">
        <v>82</v>
      </c>
      <c r="E677" t="s">
        <v>1622</v>
      </c>
      <c r="F677">
        <v>2024</v>
      </c>
      <c r="G677" t="s">
        <v>389</v>
      </c>
      <c r="H677" t="s">
        <v>24</v>
      </c>
      <c r="I677" t="s">
        <v>44</v>
      </c>
      <c r="J677">
        <v>1.4</v>
      </c>
      <c r="K677">
        <v>26232</v>
      </c>
      <c r="L677" t="s">
        <v>73</v>
      </c>
      <c r="M677" t="s">
        <v>54</v>
      </c>
      <c r="N677" t="s">
        <v>55</v>
      </c>
      <c r="O677" t="s">
        <v>29</v>
      </c>
      <c r="P677" t="s">
        <v>56</v>
      </c>
      <c r="Q677">
        <v>1.4</v>
      </c>
      <c r="R677">
        <v>2</v>
      </c>
    </row>
    <row r="678" spans="1:18" x14ac:dyDescent="0.3">
      <c r="A678" t="s">
        <v>1623</v>
      </c>
      <c r="B678" t="s">
        <v>19</v>
      </c>
      <c r="C678" t="s">
        <v>20</v>
      </c>
      <c r="D678" t="s">
        <v>50</v>
      </c>
      <c r="E678" t="s">
        <v>1624</v>
      </c>
      <c r="F678">
        <v>2020</v>
      </c>
      <c r="G678" t="s">
        <v>720</v>
      </c>
      <c r="H678" t="s">
        <v>24</v>
      </c>
      <c r="I678" t="s">
        <v>25</v>
      </c>
      <c r="J678">
        <v>1.6</v>
      </c>
      <c r="K678">
        <v>7830</v>
      </c>
      <c r="L678" t="s">
        <v>101</v>
      </c>
      <c r="M678" t="s">
        <v>54</v>
      </c>
      <c r="N678" t="s">
        <v>62</v>
      </c>
      <c r="O678" t="s">
        <v>29</v>
      </c>
      <c r="P678" t="s">
        <v>30</v>
      </c>
      <c r="Q678">
        <v>4.4000000000000004</v>
      </c>
      <c r="R678">
        <v>6</v>
      </c>
    </row>
    <row r="679" spans="1:18" x14ac:dyDescent="0.3">
      <c r="A679" t="s">
        <v>1625</v>
      </c>
      <c r="B679" t="s">
        <v>70</v>
      </c>
      <c r="C679" t="s">
        <v>20</v>
      </c>
      <c r="D679" t="s">
        <v>93</v>
      </c>
      <c r="E679" t="s">
        <v>1626</v>
      </c>
      <c r="F679">
        <v>2015</v>
      </c>
      <c r="G679" t="s">
        <v>250</v>
      </c>
      <c r="H679" t="s">
        <v>35</v>
      </c>
      <c r="I679" t="s">
        <v>100</v>
      </c>
      <c r="J679">
        <v>4.0999999999999996</v>
      </c>
      <c r="K679">
        <v>37001</v>
      </c>
      <c r="L679" t="s">
        <v>36</v>
      </c>
      <c r="M679" t="s">
        <v>27</v>
      </c>
      <c r="N679" t="s">
        <v>28</v>
      </c>
      <c r="O679" t="s">
        <v>29</v>
      </c>
      <c r="P679" t="s">
        <v>56</v>
      </c>
      <c r="Q679">
        <v>1.5</v>
      </c>
      <c r="R679">
        <v>11</v>
      </c>
    </row>
    <row r="680" spans="1:18" x14ac:dyDescent="0.3">
      <c r="A680" t="s">
        <v>1627</v>
      </c>
      <c r="B680" t="s">
        <v>19</v>
      </c>
      <c r="C680" t="s">
        <v>76</v>
      </c>
      <c r="D680" t="s">
        <v>65</v>
      </c>
      <c r="E680" t="s">
        <v>1628</v>
      </c>
      <c r="F680">
        <v>2019</v>
      </c>
      <c r="G680" t="s">
        <v>407</v>
      </c>
      <c r="H680" t="s">
        <v>24</v>
      </c>
      <c r="I680" t="s">
        <v>85</v>
      </c>
      <c r="J680">
        <v>4.2</v>
      </c>
      <c r="K680">
        <v>15924</v>
      </c>
      <c r="L680" t="s">
        <v>26</v>
      </c>
      <c r="M680" t="s">
        <v>37</v>
      </c>
      <c r="N680" t="s">
        <v>62</v>
      </c>
      <c r="O680" t="s">
        <v>46</v>
      </c>
      <c r="P680" t="s">
        <v>86</v>
      </c>
      <c r="Q680">
        <v>0.9</v>
      </c>
      <c r="R680">
        <v>7</v>
      </c>
    </row>
    <row r="681" spans="1:18" x14ac:dyDescent="0.3">
      <c r="A681" t="s">
        <v>1629</v>
      </c>
      <c r="B681" t="s">
        <v>70</v>
      </c>
      <c r="C681" t="s">
        <v>32</v>
      </c>
      <c r="D681" t="s">
        <v>82</v>
      </c>
      <c r="E681" t="s">
        <v>1630</v>
      </c>
      <c r="F681">
        <v>2017</v>
      </c>
      <c r="G681" t="s">
        <v>557</v>
      </c>
      <c r="H681" t="s">
        <v>96</v>
      </c>
      <c r="I681" t="s">
        <v>44</v>
      </c>
      <c r="J681">
        <v>13</v>
      </c>
      <c r="K681">
        <v>38803</v>
      </c>
      <c r="L681" t="s">
        <v>73</v>
      </c>
      <c r="M681" t="s">
        <v>37</v>
      </c>
      <c r="N681" t="s">
        <v>28</v>
      </c>
      <c r="O681" t="s">
        <v>46</v>
      </c>
      <c r="P681" t="s">
        <v>86</v>
      </c>
      <c r="Q681">
        <v>9.8000000000000007</v>
      </c>
      <c r="R681">
        <v>9</v>
      </c>
    </row>
    <row r="682" spans="1:18" x14ac:dyDescent="0.3">
      <c r="A682" t="s">
        <v>1631</v>
      </c>
      <c r="B682" t="s">
        <v>40</v>
      </c>
      <c r="C682" t="s">
        <v>20</v>
      </c>
      <c r="D682" t="s">
        <v>21</v>
      </c>
      <c r="E682" t="s">
        <v>1632</v>
      </c>
      <c r="F682">
        <v>2025</v>
      </c>
      <c r="G682" t="s">
        <v>537</v>
      </c>
      <c r="H682" t="s">
        <v>35</v>
      </c>
      <c r="I682" t="s">
        <v>25</v>
      </c>
      <c r="J682">
        <v>6.1</v>
      </c>
      <c r="K682">
        <v>33096</v>
      </c>
      <c r="L682" t="s">
        <v>26</v>
      </c>
      <c r="M682" t="s">
        <v>37</v>
      </c>
      <c r="N682" t="s">
        <v>28</v>
      </c>
      <c r="O682" t="s">
        <v>46</v>
      </c>
      <c r="P682" t="s">
        <v>74</v>
      </c>
      <c r="Q682">
        <v>4.8</v>
      </c>
      <c r="R682">
        <v>1</v>
      </c>
    </row>
    <row r="683" spans="1:18" x14ac:dyDescent="0.3">
      <c r="A683" t="s">
        <v>1633</v>
      </c>
      <c r="B683" t="s">
        <v>40</v>
      </c>
      <c r="C683" t="s">
        <v>32</v>
      </c>
      <c r="D683" t="s">
        <v>93</v>
      </c>
      <c r="E683" t="s">
        <v>1634</v>
      </c>
      <c r="F683">
        <v>2022</v>
      </c>
      <c r="G683" t="s">
        <v>1003</v>
      </c>
      <c r="H683" t="s">
        <v>35</v>
      </c>
      <c r="I683" t="s">
        <v>44</v>
      </c>
      <c r="J683">
        <v>4.5999999999999996</v>
      </c>
      <c r="K683">
        <v>41893</v>
      </c>
      <c r="L683" t="s">
        <v>26</v>
      </c>
      <c r="M683" t="s">
        <v>37</v>
      </c>
      <c r="N683" t="s">
        <v>28</v>
      </c>
      <c r="O683" t="s">
        <v>46</v>
      </c>
      <c r="P683" t="s">
        <v>47</v>
      </c>
      <c r="Q683">
        <v>7.7</v>
      </c>
      <c r="R683">
        <v>4</v>
      </c>
    </row>
    <row r="684" spans="1:18" x14ac:dyDescent="0.3">
      <c r="A684" t="s">
        <v>1635</v>
      </c>
      <c r="B684" t="s">
        <v>19</v>
      </c>
      <c r="C684" t="s">
        <v>64</v>
      </c>
      <c r="D684" t="s">
        <v>77</v>
      </c>
      <c r="E684" t="s">
        <v>1636</v>
      </c>
      <c r="F684">
        <v>2023</v>
      </c>
      <c r="G684" t="s">
        <v>52</v>
      </c>
      <c r="H684" t="s">
        <v>24</v>
      </c>
      <c r="I684" t="s">
        <v>61</v>
      </c>
      <c r="J684">
        <v>3.2</v>
      </c>
      <c r="K684">
        <v>14894</v>
      </c>
      <c r="L684" t="s">
        <v>101</v>
      </c>
      <c r="M684" t="s">
        <v>80</v>
      </c>
      <c r="N684" t="s">
        <v>28</v>
      </c>
      <c r="O684" t="s">
        <v>46</v>
      </c>
      <c r="P684" t="s">
        <v>74</v>
      </c>
      <c r="Q684">
        <v>9.9</v>
      </c>
      <c r="R684">
        <v>3</v>
      </c>
    </row>
    <row r="685" spans="1:18" x14ac:dyDescent="0.3">
      <c r="A685" t="s">
        <v>1637</v>
      </c>
      <c r="B685" t="s">
        <v>70</v>
      </c>
      <c r="C685" t="s">
        <v>64</v>
      </c>
      <c r="D685" t="s">
        <v>77</v>
      </c>
      <c r="E685" t="s">
        <v>1638</v>
      </c>
      <c r="F685">
        <v>2021</v>
      </c>
      <c r="G685" t="s">
        <v>543</v>
      </c>
      <c r="H685" t="s">
        <v>24</v>
      </c>
      <c r="I685" t="s">
        <v>44</v>
      </c>
      <c r="J685">
        <v>9.6</v>
      </c>
      <c r="K685">
        <v>28690</v>
      </c>
      <c r="L685" t="s">
        <v>101</v>
      </c>
      <c r="M685" t="s">
        <v>37</v>
      </c>
      <c r="N685" t="s">
        <v>28</v>
      </c>
      <c r="O685" t="s">
        <v>29</v>
      </c>
      <c r="P685" t="s">
        <v>38</v>
      </c>
      <c r="Q685">
        <v>3.6</v>
      </c>
      <c r="R685">
        <v>5</v>
      </c>
    </row>
    <row r="686" spans="1:18" x14ac:dyDescent="0.3">
      <c r="A686" t="s">
        <v>1639</v>
      </c>
      <c r="B686" t="s">
        <v>49</v>
      </c>
      <c r="C686" t="s">
        <v>112</v>
      </c>
      <c r="D686" t="s">
        <v>65</v>
      </c>
      <c r="E686" t="s">
        <v>1640</v>
      </c>
      <c r="F686">
        <v>2017</v>
      </c>
      <c r="G686" t="s">
        <v>1271</v>
      </c>
      <c r="H686" t="s">
        <v>96</v>
      </c>
      <c r="I686" t="s">
        <v>25</v>
      </c>
      <c r="J686">
        <v>12.7</v>
      </c>
      <c r="K686">
        <v>16078</v>
      </c>
      <c r="L686" t="s">
        <v>45</v>
      </c>
      <c r="M686" t="s">
        <v>27</v>
      </c>
      <c r="N686" t="s">
        <v>62</v>
      </c>
      <c r="O686" t="s">
        <v>118</v>
      </c>
      <c r="P686" t="s">
        <v>56</v>
      </c>
      <c r="Q686">
        <v>4.7</v>
      </c>
      <c r="R686">
        <v>9</v>
      </c>
    </row>
    <row r="687" spans="1:18" x14ac:dyDescent="0.3">
      <c r="A687" t="s">
        <v>1641</v>
      </c>
      <c r="B687" t="s">
        <v>58</v>
      </c>
      <c r="C687" t="s">
        <v>112</v>
      </c>
      <c r="D687" t="s">
        <v>21</v>
      </c>
      <c r="E687" t="s">
        <v>1642</v>
      </c>
      <c r="F687">
        <v>2014</v>
      </c>
      <c r="G687" t="s">
        <v>909</v>
      </c>
      <c r="H687" t="s">
        <v>24</v>
      </c>
      <c r="I687" t="s">
        <v>61</v>
      </c>
      <c r="J687">
        <v>16.899999999999999</v>
      </c>
      <c r="K687">
        <v>9728</v>
      </c>
      <c r="L687" t="s">
        <v>26</v>
      </c>
      <c r="M687" t="s">
        <v>54</v>
      </c>
      <c r="N687" t="s">
        <v>62</v>
      </c>
      <c r="O687" t="s">
        <v>46</v>
      </c>
      <c r="P687" t="s">
        <v>56</v>
      </c>
      <c r="Q687">
        <v>2.7</v>
      </c>
      <c r="R687">
        <v>12</v>
      </c>
    </row>
    <row r="688" spans="1:18" x14ac:dyDescent="0.3">
      <c r="A688" t="s">
        <v>1643</v>
      </c>
      <c r="B688" t="s">
        <v>58</v>
      </c>
      <c r="C688" t="s">
        <v>20</v>
      </c>
      <c r="D688" t="s">
        <v>21</v>
      </c>
      <c r="E688" t="s">
        <v>1644</v>
      </c>
      <c r="F688">
        <v>2015</v>
      </c>
      <c r="G688" t="s">
        <v>79</v>
      </c>
      <c r="H688" t="s">
        <v>35</v>
      </c>
      <c r="I688" t="s">
        <v>61</v>
      </c>
      <c r="J688">
        <v>7.9</v>
      </c>
      <c r="K688">
        <v>41205</v>
      </c>
      <c r="L688" t="s">
        <v>73</v>
      </c>
      <c r="M688" t="s">
        <v>37</v>
      </c>
      <c r="N688" t="s">
        <v>55</v>
      </c>
      <c r="O688" t="s">
        <v>46</v>
      </c>
      <c r="P688" t="s">
        <v>47</v>
      </c>
      <c r="Q688">
        <v>9.6999999999999993</v>
      </c>
      <c r="R688">
        <v>11</v>
      </c>
    </row>
    <row r="689" spans="1:18" x14ac:dyDescent="0.3">
      <c r="A689" t="s">
        <v>1645</v>
      </c>
      <c r="B689" t="s">
        <v>58</v>
      </c>
      <c r="C689" t="s">
        <v>112</v>
      </c>
      <c r="D689" t="s">
        <v>77</v>
      </c>
      <c r="E689" t="s">
        <v>1646</v>
      </c>
      <c r="F689">
        <v>2017</v>
      </c>
      <c r="G689" t="s">
        <v>67</v>
      </c>
      <c r="H689" t="s">
        <v>24</v>
      </c>
      <c r="I689" t="s">
        <v>61</v>
      </c>
      <c r="J689">
        <v>8.6999999999999993</v>
      </c>
      <c r="K689">
        <v>29201</v>
      </c>
      <c r="L689" t="s">
        <v>45</v>
      </c>
      <c r="M689" t="s">
        <v>27</v>
      </c>
      <c r="N689" t="s">
        <v>28</v>
      </c>
      <c r="O689" t="s">
        <v>118</v>
      </c>
      <c r="P689" t="s">
        <v>30</v>
      </c>
      <c r="Q689">
        <v>7.7</v>
      </c>
      <c r="R689">
        <v>9</v>
      </c>
    </row>
    <row r="690" spans="1:18" x14ac:dyDescent="0.3">
      <c r="A690" t="s">
        <v>1647</v>
      </c>
      <c r="B690" t="s">
        <v>70</v>
      </c>
      <c r="C690" t="s">
        <v>32</v>
      </c>
      <c r="D690" t="s">
        <v>93</v>
      </c>
      <c r="E690" t="s">
        <v>1648</v>
      </c>
      <c r="F690">
        <v>2020</v>
      </c>
      <c r="G690" t="s">
        <v>604</v>
      </c>
      <c r="H690" t="s">
        <v>24</v>
      </c>
      <c r="I690" t="s">
        <v>25</v>
      </c>
      <c r="J690">
        <v>3.6</v>
      </c>
      <c r="K690">
        <v>26433</v>
      </c>
      <c r="L690" t="s">
        <v>36</v>
      </c>
      <c r="M690" t="s">
        <v>37</v>
      </c>
      <c r="N690" t="s">
        <v>55</v>
      </c>
      <c r="O690" t="s">
        <v>118</v>
      </c>
      <c r="P690" t="s">
        <v>47</v>
      </c>
      <c r="Q690">
        <v>5.8</v>
      </c>
      <c r="R690">
        <v>6</v>
      </c>
    </row>
    <row r="691" spans="1:18" x14ac:dyDescent="0.3">
      <c r="A691" t="s">
        <v>1649</v>
      </c>
      <c r="B691" t="s">
        <v>70</v>
      </c>
      <c r="C691" t="s">
        <v>64</v>
      </c>
      <c r="D691" t="s">
        <v>65</v>
      </c>
      <c r="E691" t="s">
        <v>1650</v>
      </c>
      <c r="F691">
        <v>2021</v>
      </c>
      <c r="G691" t="s">
        <v>236</v>
      </c>
      <c r="H691" t="s">
        <v>24</v>
      </c>
      <c r="I691" t="s">
        <v>61</v>
      </c>
      <c r="J691">
        <v>16.5</v>
      </c>
      <c r="K691">
        <v>1773</v>
      </c>
      <c r="L691" t="s">
        <v>26</v>
      </c>
      <c r="M691" t="s">
        <v>37</v>
      </c>
      <c r="N691" t="s">
        <v>55</v>
      </c>
      <c r="O691" t="s">
        <v>118</v>
      </c>
      <c r="P691" t="s">
        <v>47</v>
      </c>
      <c r="Q691">
        <v>9.4</v>
      </c>
      <c r="R691">
        <v>5</v>
      </c>
    </row>
    <row r="692" spans="1:18" x14ac:dyDescent="0.3">
      <c r="A692" t="s">
        <v>1651</v>
      </c>
      <c r="B692" t="s">
        <v>58</v>
      </c>
      <c r="C692" t="s">
        <v>76</v>
      </c>
      <c r="D692" t="s">
        <v>77</v>
      </c>
      <c r="E692" t="s">
        <v>1652</v>
      </c>
      <c r="F692">
        <v>2025</v>
      </c>
      <c r="G692" t="s">
        <v>370</v>
      </c>
      <c r="H692" t="s">
        <v>35</v>
      </c>
      <c r="I692" t="s">
        <v>100</v>
      </c>
      <c r="J692">
        <v>1.7</v>
      </c>
      <c r="K692">
        <v>4044</v>
      </c>
      <c r="L692" t="s">
        <v>26</v>
      </c>
      <c r="M692" t="s">
        <v>27</v>
      </c>
      <c r="N692" t="s">
        <v>62</v>
      </c>
      <c r="O692" t="s">
        <v>29</v>
      </c>
      <c r="P692" t="s">
        <v>56</v>
      </c>
      <c r="Q692">
        <v>7.7</v>
      </c>
      <c r="R692">
        <v>1</v>
      </c>
    </row>
    <row r="693" spans="1:18" x14ac:dyDescent="0.3">
      <c r="A693" t="s">
        <v>1653</v>
      </c>
      <c r="B693" t="s">
        <v>70</v>
      </c>
      <c r="C693" t="s">
        <v>32</v>
      </c>
      <c r="D693" t="s">
        <v>65</v>
      </c>
      <c r="E693" t="s">
        <v>1654</v>
      </c>
      <c r="F693">
        <v>2018</v>
      </c>
      <c r="G693" t="s">
        <v>1049</v>
      </c>
      <c r="H693" t="s">
        <v>24</v>
      </c>
      <c r="I693" t="s">
        <v>25</v>
      </c>
      <c r="J693">
        <v>6.9</v>
      </c>
      <c r="K693">
        <v>5281</v>
      </c>
      <c r="L693" t="s">
        <v>101</v>
      </c>
      <c r="M693" t="s">
        <v>27</v>
      </c>
      <c r="N693" t="s">
        <v>55</v>
      </c>
      <c r="O693" t="s">
        <v>46</v>
      </c>
      <c r="P693" t="s">
        <v>56</v>
      </c>
      <c r="Q693">
        <v>2.8</v>
      </c>
      <c r="R693">
        <v>8</v>
      </c>
    </row>
    <row r="694" spans="1:18" x14ac:dyDescent="0.3">
      <c r="A694" t="s">
        <v>1655</v>
      </c>
      <c r="B694" t="s">
        <v>70</v>
      </c>
      <c r="C694" t="s">
        <v>112</v>
      </c>
      <c r="D694" t="s">
        <v>65</v>
      </c>
      <c r="E694" t="s">
        <v>1656</v>
      </c>
      <c r="F694">
        <v>2014</v>
      </c>
      <c r="G694" t="s">
        <v>250</v>
      </c>
      <c r="H694" t="s">
        <v>35</v>
      </c>
      <c r="I694" t="s">
        <v>61</v>
      </c>
      <c r="J694">
        <v>5.0999999999999996</v>
      </c>
      <c r="K694">
        <v>31349</v>
      </c>
      <c r="L694" t="s">
        <v>101</v>
      </c>
      <c r="M694" t="s">
        <v>54</v>
      </c>
      <c r="N694" t="s">
        <v>55</v>
      </c>
      <c r="O694" t="s">
        <v>29</v>
      </c>
      <c r="P694" t="s">
        <v>74</v>
      </c>
      <c r="Q694">
        <v>6</v>
      </c>
      <c r="R694">
        <v>12</v>
      </c>
    </row>
    <row r="695" spans="1:18" x14ac:dyDescent="0.3">
      <c r="A695" t="s">
        <v>1657</v>
      </c>
      <c r="B695" t="s">
        <v>19</v>
      </c>
      <c r="C695" t="s">
        <v>112</v>
      </c>
      <c r="D695" t="s">
        <v>50</v>
      </c>
      <c r="E695" t="s">
        <v>1658</v>
      </c>
      <c r="F695">
        <v>2024</v>
      </c>
      <c r="G695" t="s">
        <v>941</v>
      </c>
      <c r="H695" t="s">
        <v>24</v>
      </c>
      <c r="I695" t="s">
        <v>25</v>
      </c>
      <c r="J695">
        <v>16.5</v>
      </c>
      <c r="K695">
        <v>27561</v>
      </c>
      <c r="L695" t="s">
        <v>101</v>
      </c>
      <c r="M695" t="s">
        <v>80</v>
      </c>
      <c r="N695" t="s">
        <v>62</v>
      </c>
      <c r="O695" t="s">
        <v>29</v>
      </c>
      <c r="P695" t="s">
        <v>47</v>
      </c>
      <c r="Q695">
        <v>2.1</v>
      </c>
      <c r="R695">
        <v>2</v>
      </c>
    </row>
    <row r="696" spans="1:18" x14ac:dyDescent="0.3">
      <c r="A696" t="s">
        <v>1659</v>
      </c>
      <c r="B696" t="s">
        <v>70</v>
      </c>
      <c r="C696" t="s">
        <v>32</v>
      </c>
      <c r="D696" t="s">
        <v>93</v>
      </c>
      <c r="E696" t="s">
        <v>1660</v>
      </c>
      <c r="F696">
        <v>2020</v>
      </c>
      <c r="G696" t="s">
        <v>404</v>
      </c>
      <c r="H696" t="s">
        <v>35</v>
      </c>
      <c r="I696" t="s">
        <v>85</v>
      </c>
      <c r="J696">
        <v>10.8</v>
      </c>
      <c r="K696">
        <v>28475</v>
      </c>
      <c r="L696" t="s">
        <v>101</v>
      </c>
      <c r="M696" t="s">
        <v>80</v>
      </c>
      <c r="N696" t="s">
        <v>28</v>
      </c>
      <c r="O696" t="s">
        <v>46</v>
      </c>
      <c r="P696" t="s">
        <v>74</v>
      </c>
      <c r="Q696">
        <v>7.9</v>
      </c>
      <c r="R696">
        <v>6</v>
      </c>
    </row>
    <row r="697" spans="1:18" x14ac:dyDescent="0.3">
      <c r="A697" t="s">
        <v>1661</v>
      </c>
      <c r="B697" t="s">
        <v>40</v>
      </c>
      <c r="C697" t="s">
        <v>20</v>
      </c>
      <c r="D697" t="s">
        <v>65</v>
      </c>
      <c r="E697" t="s">
        <v>1662</v>
      </c>
      <c r="F697">
        <v>2019</v>
      </c>
      <c r="G697" t="s">
        <v>250</v>
      </c>
      <c r="H697" t="s">
        <v>24</v>
      </c>
      <c r="I697" t="s">
        <v>25</v>
      </c>
      <c r="J697">
        <v>7.5</v>
      </c>
      <c r="K697">
        <v>21691</v>
      </c>
      <c r="L697" t="s">
        <v>26</v>
      </c>
      <c r="M697" t="s">
        <v>54</v>
      </c>
      <c r="N697" t="s">
        <v>55</v>
      </c>
      <c r="O697" t="s">
        <v>29</v>
      </c>
      <c r="P697" t="s">
        <v>30</v>
      </c>
      <c r="Q697">
        <v>1.2</v>
      </c>
      <c r="R697">
        <v>7</v>
      </c>
    </row>
    <row r="698" spans="1:18" x14ac:dyDescent="0.3">
      <c r="A698" t="s">
        <v>1663</v>
      </c>
      <c r="B698" t="s">
        <v>49</v>
      </c>
      <c r="C698" t="s">
        <v>76</v>
      </c>
      <c r="D698" t="s">
        <v>65</v>
      </c>
      <c r="E698" t="s">
        <v>1664</v>
      </c>
      <c r="F698">
        <v>2025</v>
      </c>
      <c r="G698" t="s">
        <v>392</v>
      </c>
      <c r="H698" t="s">
        <v>24</v>
      </c>
      <c r="I698" t="s">
        <v>85</v>
      </c>
      <c r="J698">
        <v>3.5</v>
      </c>
      <c r="K698">
        <v>26053</v>
      </c>
      <c r="L698" t="s">
        <v>73</v>
      </c>
      <c r="M698" t="s">
        <v>54</v>
      </c>
      <c r="N698" t="s">
        <v>28</v>
      </c>
      <c r="O698" t="s">
        <v>118</v>
      </c>
      <c r="P698" t="s">
        <v>56</v>
      </c>
      <c r="Q698">
        <v>5.3</v>
      </c>
      <c r="R698">
        <v>1</v>
      </c>
    </row>
    <row r="699" spans="1:18" x14ac:dyDescent="0.3">
      <c r="A699" t="s">
        <v>1665</v>
      </c>
      <c r="B699" t="s">
        <v>49</v>
      </c>
      <c r="C699" t="s">
        <v>64</v>
      </c>
      <c r="D699" t="s">
        <v>21</v>
      </c>
      <c r="E699" t="s">
        <v>1666</v>
      </c>
      <c r="F699">
        <v>2015</v>
      </c>
      <c r="G699" t="s">
        <v>104</v>
      </c>
      <c r="H699" t="s">
        <v>24</v>
      </c>
      <c r="I699" t="s">
        <v>25</v>
      </c>
      <c r="J699">
        <v>3.7</v>
      </c>
      <c r="K699">
        <v>14075</v>
      </c>
      <c r="L699" t="s">
        <v>68</v>
      </c>
      <c r="M699" t="s">
        <v>27</v>
      </c>
      <c r="N699" t="s">
        <v>55</v>
      </c>
      <c r="O699" t="s">
        <v>46</v>
      </c>
      <c r="P699" t="s">
        <v>74</v>
      </c>
      <c r="Q699">
        <v>1.5</v>
      </c>
      <c r="R699">
        <v>11</v>
      </c>
    </row>
    <row r="700" spans="1:18" x14ac:dyDescent="0.3">
      <c r="A700" t="s">
        <v>1667</v>
      </c>
      <c r="B700" t="s">
        <v>19</v>
      </c>
      <c r="C700" t="s">
        <v>20</v>
      </c>
      <c r="D700" t="s">
        <v>41</v>
      </c>
      <c r="E700" t="s">
        <v>1668</v>
      </c>
      <c r="F700">
        <v>2024</v>
      </c>
      <c r="G700" t="s">
        <v>121</v>
      </c>
      <c r="H700" t="s">
        <v>24</v>
      </c>
      <c r="I700" t="s">
        <v>53</v>
      </c>
      <c r="J700">
        <v>1.6</v>
      </c>
      <c r="K700">
        <v>3444</v>
      </c>
      <c r="L700" t="s">
        <v>45</v>
      </c>
      <c r="M700" t="s">
        <v>54</v>
      </c>
      <c r="N700" t="s">
        <v>55</v>
      </c>
      <c r="O700" t="s">
        <v>118</v>
      </c>
      <c r="P700" t="s">
        <v>38</v>
      </c>
      <c r="Q700">
        <v>7.7</v>
      </c>
      <c r="R700">
        <v>2</v>
      </c>
    </row>
    <row r="701" spans="1:18" x14ac:dyDescent="0.3">
      <c r="A701" t="s">
        <v>1669</v>
      </c>
      <c r="B701" t="s">
        <v>70</v>
      </c>
      <c r="C701" t="s">
        <v>112</v>
      </c>
      <c r="D701" t="s">
        <v>65</v>
      </c>
      <c r="E701" t="s">
        <v>1670</v>
      </c>
      <c r="F701">
        <v>2014</v>
      </c>
      <c r="G701" t="s">
        <v>452</v>
      </c>
      <c r="H701" t="s">
        <v>35</v>
      </c>
      <c r="I701" t="s">
        <v>44</v>
      </c>
      <c r="J701">
        <v>2.2000000000000002</v>
      </c>
      <c r="K701">
        <v>35731</v>
      </c>
      <c r="L701" t="s">
        <v>26</v>
      </c>
      <c r="M701" t="s">
        <v>27</v>
      </c>
      <c r="N701" t="s">
        <v>62</v>
      </c>
      <c r="O701" t="s">
        <v>46</v>
      </c>
      <c r="P701" t="s">
        <v>86</v>
      </c>
      <c r="Q701">
        <v>9.4</v>
      </c>
      <c r="R701">
        <v>12</v>
      </c>
    </row>
    <row r="702" spans="1:18" x14ac:dyDescent="0.3">
      <c r="A702" t="s">
        <v>1671</v>
      </c>
      <c r="B702" t="s">
        <v>70</v>
      </c>
      <c r="C702" t="s">
        <v>32</v>
      </c>
      <c r="D702" t="s">
        <v>82</v>
      </c>
      <c r="E702" t="s">
        <v>1672</v>
      </c>
      <c r="F702">
        <v>2021</v>
      </c>
      <c r="G702" t="s">
        <v>954</v>
      </c>
      <c r="H702" t="s">
        <v>24</v>
      </c>
      <c r="I702" t="s">
        <v>25</v>
      </c>
      <c r="J702">
        <v>16.100000000000001</v>
      </c>
      <c r="K702">
        <v>22158</v>
      </c>
      <c r="L702" t="s">
        <v>73</v>
      </c>
      <c r="M702" t="s">
        <v>37</v>
      </c>
      <c r="N702" t="s">
        <v>62</v>
      </c>
      <c r="O702" t="s">
        <v>118</v>
      </c>
      <c r="P702" t="s">
        <v>47</v>
      </c>
      <c r="Q702">
        <v>6.3</v>
      </c>
      <c r="R702">
        <v>5</v>
      </c>
    </row>
    <row r="703" spans="1:18" x14ac:dyDescent="0.3">
      <c r="A703" t="s">
        <v>1673</v>
      </c>
      <c r="B703" t="s">
        <v>19</v>
      </c>
      <c r="C703" t="s">
        <v>112</v>
      </c>
      <c r="D703" t="s">
        <v>82</v>
      </c>
      <c r="E703" t="s">
        <v>1674</v>
      </c>
      <c r="F703">
        <v>2019</v>
      </c>
      <c r="G703" t="s">
        <v>269</v>
      </c>
      <c r="H703" t="s">
        <v>96</v>
      </c>
      <c r="I703" t="s">
        <v>85</v>
      </c>
      <c r="J703">
        <v>13.2</v>
      </c>
      <c r="K703">
        <v>10600</v>
      </c>
      <c r="L703" t="s">
        <v>26</v>
      </c>
      <c r="M703" t="s">
        <v>80</v>
      </c>
      <c r="N703" t="s">
        <v>62</v>
      </c>
      <c r="O703" t="s">
        <v>118</v>
      </c>
      <c r="P703" t="s">
        <v>38</v>
      </c>
      <c r="Q703">
        <v>7.6</v>
      </c>
      <c r="R703">
        <v>7</v>
      </c>
    </row>
    <row r="704" spans="1:18" x14ac:dyDescent="0.3">
      <c r="A704" t="s">
        <v>1675</v>
      </c>
      <c r="B704" t="s">
        <v>58</v>
      </c>
      <c r="C704" t="s">
        <v>32</v>
      </c>
      <c r="D704" t="s">
        <v>65</v>
      </c>
      <c r="E704" t="s">
        <v>1676</v>
      </c>
      <c r="F704">
        <v>2017</v>
      </c>
      <c r="G704" t="s">
        <v>472</v>
      </c>
      <c r="H704" t="s">
        <v>35</v>
      </c>
      <c r="I704" t="s">
        <v>85</v>
      </c>
      <c r="J704">
        <v>9.5</v>
      </c>
      <c r="K704">
        <v>44768</v>
      </c>
      <c r="L704" t="s">
        <v>73</v>
      </c>
      <c r="M704" t="s">
        <v>80</v>
      </c>
      <c r="N704" t="s">
        <v>62</v>
      </c>
      <c r="O704" t="s">
        <v>118</v>
      </c>
      <c r="P704" t="s">
        <v>30</v>
      </c>
      <c r="Q704">
        <v>6.5</v>
      </c>
      <c r="R704">
        <v>9</v>
      </c>
    </row>
    <row r="705" spans="1:18" x14ac:dyDescent="0.3">
      <c r="A705" t="s">
        <v>1677</v>
      </c>
      <c r="B705" t="s">
        <v>70</v>
      </c>
      <c r="C705" t="s">
        <v>76</v>
      </c>
      <c r="D705" t="s">
        <v>21</v>
      </c>
      <c r="E705" t="s">
        <v>1678</v>
      </c>
      <c r="F705">
        <v>2014</v>
      </c>
      <c r="G705" t="s">
        <v>110</v>
      </c>
      <c r="H705" t="s">
        <v>35</v>
      </c>
      <c r="I705" t="s">
        <v>85</v>
      </c>
      <c r="J705">
        <v>13.4</v>
      </c>
      <c r="K705">
        <v>6832</v>
      </c>
      <c r="L705" t="s">
        <v>68</v>
      </c>
      <c r="M705" t="s">
        <v>27</v>
      </c>
      <c r="N705" t="s">
        <v>55</v>
      </c>
      <c r="O705" t="s">
        <v>46</v>
      </c>
      <c r="P705" t="s">
        <v>38</v>
      </c>
      <c r="Q705">
        <v>9.1</v>
      </c>
      <c r="R705">
        <v>12</v>
      </c>
    </row>
    <row r="706" spans="1:18" x14ac:dyDescent="0.3">
      <c r="A706" t="s">
        <v>1679</v>
      </c>
      <c r="B706" t="s">
        <v>70</v>
      </c>
      <c r="C706" t="s">
        <v>32</v>
      </c>
      <c r="D706" t="s">
        <v>21</v>
      </c>
      <c r="E706" t="s">
        <v>1680</v>
      </c>
      <c r="F706">
        <v>2025</v>
      </c>
      <c r="G706" t="s">
        <v>681</v>
      </c>
      <c r="H706" t="s">
        <v>35</v>
      </c>
      <c r="I706" t="s">
        <v>100</v>
      </c>
      <c r="J706">
        <v>15.8</v>
      </c>
      <c r="K706">
        <v>34571</v>
      </c>
      <c r="L706" t="s">
        <v>26</v>
      </c>
      <c r="M706" t="s">
        <v>54</v>
      </c>
      <c r="N706" t="s">
        <v>55</v>
      </c>
      <c r="O706" t="s">
        <v>29</v>
      </c>
      <c r="P706" t="s">
        <v>86</v>
      </c>
      <c r="Q706">
        <v>8.4</v>
      </c>
      <c r="R706">
        <v>1</v>
      </c>
    </row>
    <row r="707" spans="1:18" x14ac:dyDescent="0.3">
      <c r="A707" t="s">
        <v>1681</v>
      </c>
      <c r="B707" t="s">
        <v>40</v>
      </c>
      <c r="C707" t="s">
        <v>76</v>
      </c>
      <c r="D707" t="s">
        <v>41</v>
      </c>
      <c r="E707" t="s">
        <v>1682</v>
      </c>
      <c r="F707">
        <v>2022</v>
      </c>
      <c r="G707" t="s">
        <v>783</v>
      </c>
      <c r="H707" t="s">
        <v>24</v>
      </c>
      <c r="I707" t="s">
        <v>100</v>
      </c>
      <c r="J707">
        <v>4.7</v>
      </c>
      <c r="K707">
        <v>15370</v>
      </c>
      <c r="L707" t="s">
        <v>73</v>
      </c>
      <c r="M707" t="s">
        <v>80</v>
      </c>
      <c r="N707" t="s">
        <v>28</v>
      </c>
      <c r="O707" t="s">
        <v>118</v>
      </c>
      <c r="P707" t="s">
        <v>38</v>
      </c>
      <c r="Q707">
        <v>0.8</v>
      </c>
      <c r="R707">
        <v>4</v>
      </c>
    </row>
    <row r="708" spans="1:18" x14ac:dyDescent="0.3">
      <c r="A708" t="s">
        <v>1683</v>
      </c>
      <c r="B708" t="s">
        <v>70</v>
      </c>
      <c r="C708" t="s">
        <v>64</v>
      </c>
      <c r="D708" t="s">
        <v>65</v>
      </c>
      <c r="E708" t="s">
        <v>1684</v>
      </c>
      <c r="F708">
        <v>2019</v>
      </c>
      <c r="G708" t="s">
        <v>681</v>
      </c>
      <c r="H708" t="s">
        <v>24</v>
      </c>
      <c r="I708" t="s">
        <v>85</v>
      </c>
      <c r="J708">
        <v>17.2</v>
      </c>
      <c r="K708">
        <v>9567</v>
      </c>
      <c r="L708" t="s">
        <v>101</v>
      </c>
      <c r="M708" t="s">
        <v>54</v>
      </c>
      <c r="N708" t="s">
        <v>62</v>
      </c>
      <c r="O708" t="s">
        <v>46</v>
      </c>
      <c r="P708" t="s">
        <v>38</v>
      </c>
      <c r="Q708">
        <v>5.2</v>
      </c>
      <c r="R708">
        <v>7</v>
      </c>
    </row>
    <row r="709" spans="1:18" x14ac:dyDescent="0.3">
      <c r="A709" t="s">
        <v>1685</v>
      </c>
      <c r="B709" t="s">
        <v>40</v>
      </c>
      <c r="C709" t="s">
        <v>32</v>
      </c>
      <c r="D709" t="s">
        <v>50</v>
      </c>
      <c r="E709" t="s">
        <v>1686</v>
      </c>
      <c r="F709">
        <v>2025</v>
      </c>
      <c r="G709" t="s">
        <v>734</v>
      </c>
      <c r="H709" t="s">
        <v>96</v>
      </c>
      <c r="I709" t="s">
        <v>44</v>
      </c>
      <c r="J709">
        <v>11.8</v>
      </c>
      <c r="K709">
        <v>26207</v>
      </c>
      <c r="L709" t="s">
        <v>101</v>
      </c>
      <c r="M709" t="s">
        <v>27</v>
      </c>
      <c r="N709" t="s">
        <v>62</v>
      </c>
      <c r="O709" t="s">
        <v>46</v>
      </c>
      <c r="P709" t="s">
        <v>74</v>
      </c>
      <c r="Q709">
        <v>9.6999999999999993</v>
      </c>
      <c r="R709">
        <v>1</v>
      </c>
    </row>
    <row r="710" spans="1:18" x14ac:dyDescent="0.3">
      <c r="A710" t="s">
        <v>1687</v>
      </c>
      <c r="B710" t="s">
        <v>40</v>
      </c>
      <c r="C710" t="s">
        <v>64</v>
      </c>
      <c r="D710" t="s">
        <v>77</v>
      </c>
      <c r="E710" t="s">
        <v>1688</v>
      </c>
      <c r="F710">
        <v>2020</v>
      </c>
      <c r="G710" t="s">
        <v>110</v>
      </c>
      <c r="H710" t="s">
        <v>24</v>
      </c>
      <c r="I710" t="s">
        <v>44</v>
      </c>
      <c r="J710">
        <v>2.4</v>
      </c>
      <c r="K710">
        <v>23797</v>
      </c>
      <c r="L710" t="s">
        <v>101</v>
      </c>
      <c r="M710" t="s">
        <v>54</v>
      </c>
      <c r="N710" t="s">
        <v>62</v>
      </c>
      <c r="O710" t="s">
        <v>29</v>
      </c>
      <c r="P710" t="s">
        <v>74</v>
      </c>
      <c r="Q710">
        <v>4</v>
      </c>
      <c r="R710">
        <v>6</v>
      </c>
    </row>
    <row r="711" spans="1:18" x14ac:dyDescent="0.3">
      <c r="A711" t="s">
        <v>1689</v>
      </c>
      <c r="B711" t="s">
        <v>49</v>
      </c>
      <c r="C711" t="s">
        <v>112</v>
      </c>
      <c r="D711" t="s">
        <v>77</v>
      </c>
      <c r="E711" t="s">
        <v>1690</v>
      </c>
      <c r="F711">
        <v>2019</v>
      </c>
      <c r="G711" t="s">
        <v>1168</v>
      </c>
      <c r="H711" t="s">
        <v>24</v>
      </c>
      <c r="I711" t="s">
        <v>100</v>
      </c>
      <c r="J711">
        <v>3.8</v>
      </c>
      <c r="K711">
        <v>26937</v>
      </c>
      <c r="L711" t="s">
        <v>36</v>
      </c>
      <c r="M711" t="s">
        <v>37</v>
      </c>
      <c r="N711" t="s">
        <v>55</v>
      </c>
      <c r="O711" t="s">
        <v>46</v>
      </c>
      <c r="P711" t="s">
        <v>56</v>
      </c>
      <c r="Q711">
        <v>5.4</v>
      </c>
      <c r="R711">
        <v>7</v>
      </c>
    </row>
    <row r="712" spans="1:18" x14ac:dyDescent="0.3">
      <c r="A712" t="s">
        <v>1691</v>
      </c>
      <c r="B712" t="s">
        <v>40</v>
      </c>
      <c r="C712" t="s">
        <v>112</v>
      </c>
      <c r="D712" t="s">
        <v>82</v>
      </c>
      <c r="E712" t="s">
        <v>1692</v>
      </c>
      <c r="F712">
        <v>2023</v>
      </c>
      <c r="G712" t="s">
        <v>1248</v>
      </c>
      <c r="H712" t="s">
        <v>24</v>
      </c>
      <c r="I712" t="s">
        <v>85</v>
      </c>
      <c r="J712">
        <v>6</v>
      </c>
      <c r="K712">
        <v>20952</v>
      </c>
      <c r="L712" t="s">
        <v>73</v>
      </c>
      <c r="M712" t="s">
        <v>27</v>
      </c>
      <c r="N712" t="s">
        <v>62</v>
      </c>
      <c r="O712" t="s">
        <v>118</v>
      </c>
      <c r="P712" t="s">
        <v>56</v>
      </c>
      <c r="Q712">
        <v>6.2</v>
      </c>
      <c r="R712">
        <v>3</v>
      </c>
    </row>
    <row r="713" spans="1:18" x14ac:dyDescent="0.3">
      <c r="A713" t="s">
        <v>1693</v>
      </c>
      <c r="B713" t="s">
        <v>19</v>
      </c>
      <c r="C713" t="s">
        <v>32</v>
      </c>
      <c r="D713" t="s">
        <v>77</v>
      </c>
      <c r="E713" t="s">
        <v>1694</v>
      </c>
      <c r="F713">
        <v>2016</v>
      </c>
      <c r="G713" t="s">
        <v>162</v>
      </c>
      <c r="H713" t="s">
        <v>24</v>
      </c>
      <c r="I713" t="s">
        <v>25</v>
      </c>
      <c r="J713">
        <v>2.7</v>
      </c>
      <c r="K713">
        <v>39115</v>
      </c>
      <c r="L713" t="s">
        <v>36</v>
      </c>
      <c r="M713" t="s">
        <v>54</v>
      </c>
      <c r="N713" t="s">
        <v>55</v>
      </c>
      <c r="O713" t="s">
        <v>118</v>
      </c>
      <c r="P713" t="s">
        <v>38</v>
      </c>
      <c r="Q713">
        <v>9.6999999999999993</v>
      </c>
      <c r="R713">
        <v>10</v>
      </c>
    </row>
    <row r="714" spans="1:18" x14ac:dyDescent="0.3">
      <c r="A714" t="s">
        <v>1695</v>
      </c>
      <c r="B714" t="s">
        <v>70</v>
      </c>
      <c r="C714" t="s">
        <v>64</v>
      </c>
      <c r="D714" t="s">
        <v>50</v>
      </c>
      <c r="E714" t="s">
        <v>1696</v>
      </c>
      <c r="F714">
        <v>2014</v>
      </c>
      <c r="G714" t="s">
        <v>1161</v>
      </c>
      <c r="H714" t="s">
        <v>35</v>
      </c>
      <c r="I714" t="s">
        <v>25</v>
      </c>
      <c r="J714">
        <v>16.899999999999999</v>
      </c>
      <c r="K714">
        <v>16250</v>
      </c>
      <c r="L714" t="s">
        <v>101</v>
      </c>
      <c r="M714" t="s">
        <v>80</v>
      </c>
      <c r="N714" t="s">
        <v>28</v>
      </c>
      <c r="O714" t="s">
        <v>118</v>
      </c>
      <c r="P714" t="s">
        <v>38</v>
      </c>
      <c r="Q714">
        <v>4.2</v>
      </c>
      <c r="R714">
        <v>12</v>
      </c>
    </row>
    <row r="715" spans="1:18" x14ac:dyDescent="0.3">
      <c r="A715" t="s">
        <v>1697</v>
      </c>
      <c r="B715" t="s">
        <v>19</v>
      </c>
      <c r="C715" t="s">
        <v>32</v>
      </c>
      <c r="D715" t="s">
        <v>82</v>
      </c>
      <c r="E715" t="s">
        <v>1698</v>
      </c>
      <c r="F715">
        <v>2024</v>
      </c>
      <c r="G715" t="s">
        <v>493</v>
      </c>
      <c r="H715" t="s">
        <v>24</v>
      </c>
      <c r="I715" t="s">
        <v>25</v>
      </c>
      <c r="J715">
        <v>8.8000000000000007</v>
      </c>
      <c r="K715">
        <v>24326</v>
      </c>
      <c r="L715" t="s">
        <v>36</v>
      </c>
      <c r="M715" t="s">
        <v>27</v>
      </c>
      <c r="N715" t="s">
        <v>28</v>
      </c>
      <c r="O715" t="s">
        <v>46</v>
      </c>
      <c r="P715" t="s">
        <v>38</v>
      </c>
      <c r="Q715">
        <v>3.2</v>
      </c>
      <c r="R715">
        <v>2</v>
      </c>
    </row>
    <row r="716" spans="1:18" x14ac:dyDescent="0.3">
      <c r="A716" t="s">
        <v>1699</v>
      </c>
      <c r="B716" t="s">
        <v>49</v>
      </c>
      <c r="C716" t="s">
        <v>76</v>
      </c>
      <c r="D716" t="s">
        <v>41</v>
      </c>
      <c r="E716" t="s">
        <v>1700</v>
      </c>
      <c r="F716">
        <v>2025</v>
      </c>
      <c r="G716" t="s">
        <v>560</v>
      </c>
      <c r="H716" t="s">
        <v>24</v>
      </c>
      <c r="I716" t="s">
        <v>100</v>
      </c>
      <c r="J716">
        <v>15.7</v>
      </c>
      <c r="K716">
        <v>5047</v>
      </c>
      <c r="L716" t="s">
        <v>101</v>
      </c>
      <c r="M716" t="s">
        <v>37</v>
      </c>
      <c r="N716" t="s">
        <v>55</v>
      </c>
      <c r="O716" t="s">
        <v>46</v>
      </c>
      <c r="P716" t="s">
        <v>56</v>
      </c>
      <c r="Q716">
        <v>6</v>
      </c>
      <c r="R716">
        <v>1</v>
      </c>
    </row>
    <row r="717" spans="1:18" x14ac:dyDescent="0.3">
      <c r="A717" t="s">
        <v>1701</v>
      </c>
      <c r="B717" t="s">
        <v>58</v>
      </c>
      <c r="C717" t="s">
        <v>20</v>
      </c>
      <c r="D717" t="s">
        <v>21</v>
      </c>
      <c r="E717" t="s">
        <v>1702</v>
      </c>
      <c r="F717">
        <v>2021</v>
      </c>
      <c r="G717" t="s">
        <v>1276</v>
      </c>
      <c r="H717" t="s">
        <v>24</v>
      </c>
      <c r="I717" t="s">
        <v>25</v>
      </c>
      <c r="J717">
        <v>3.9</v>
      </c>
      <c r="K717">
        <v>44179</v>
      </c>
      <c r="L717" t="s">
        <v>26</v>
      </c>
      <c r="M717" t="s">
        <v>37</v>
      </c>
      <c r="N717" t="s">
        <v>62</v>
      </c>
      <c r="O717" t="s">
        <v>46</v>
      </c>
      <c r="P717" t="s">
        <v>30</v>
      </c>
      <c r="Q717">
        <v>6.9</v>
      </c>
      <c r="R717">
        <v>5</v>
      </c>
    </row>
    <row r="718" spans="1:18" x14ac:dyDescent="0.3">
      <c r="A718" t="s">
        <v>1703</v>
      </c>
      <c r="B718" t="s">
        <v>58</v>
      </c>
      <c r="C718" t="s">
        <v>64</v>
      </c>
      <c r="D718" t="s">
        <v>41</v>
      </c>
      <c r="E718" t="s">
        <v>1704</v>
      </c>
      <c r="F718">
        <v>2016</v>
      </c>
      <c r="G718" t="s">
        <v>1705</v>
      </c>
      <c r="H718" t="s">
        <v>24</v>
      </c>
      <c r="I718" t="s">
        <v>85</v>
      </c>
      <c r="J718">
        <v>3.6</v>
      </c>
      <c r="K718">
        <v>4938</v>
      </c>
      <c r="L718" t="s">
        <v>26</v>
      </c>
      <c r="M718" t="s">
        <v>37</v>
      </c>
      <c r="N718" t="s">
        <v>62</v>
      </c>
      <c r="O718" t="s">
        <v>118</v>
      </c>
      <c r="P718" t="s">
        <v>56</v>
      </c>
      <c r="Q718">
        <v>6.5</v>
      </c>
      <c r="R718">
        <v>10</v>
      </c>
    </row>
    <row r="719" spans="1:18" x14ac:dyDescent="0.3">
      <c r="A719" t="s">
        <v>1706</v>
      </c>
      <c r="B719" t="s">
        <v>19</v>
      </c>
      <c r="C719" t="s">
        <v>112</v>
      </c>
      <c r="D719" t="s">
        <v>21</v>
      </c>
      <c r="E719" t="s">
        <v>1707</v>
      </c>
      <c r="F719">
        <v>2020</v>
      </c>
      <c r="G719" t="s">
        <v>490</v>
      </c>
      <c r="H719" t="s">
        <v>24</v>
      </c>
      <c r="I719" t="s">
        <v>53</v>
      </c>
      <c r="J719">
        <v>12.5</v>
      </c>
      <c r="K719">
        <v>12804</v>
      </c>
      <c r="L719" t="s">
        <v>101</v>
      </c>
      <c r="M719" t="s">
        <v>27</v>
      </c>
      <c r="N719" t="s">
        <v>62</v>
      </c>
      <c r="O719" t="s">
        <v>46</v>
      </c>
      <c r="P719" t="s">
        <v>38</v>
      </c>
      <c r="Q719">
        <v>1.4</v>
      </c>
      <c r="R719">
        <v>6</v>
      </c>
    </row>
    <row r="720" spans="1:18" x14ac:dyDescent="0.3">
      <c r="A720" t="s">
        <v>1708</v>
      </c>
      <c r="B720" t="s">
        <v>58</v>
      </c>
      <c r="C720" t="s">
        <v>20</v>
      </c>
      <c r="D720" t="s">
        <v>65</v>
      </c>
      <c r="E720" t="s">
        <v>1709</v>
      </c>
      <c r="F720">
        <v>2021</v>
      </c>
      <c r="G720" t="s">
        <v>754</v>
      </c>
      <c r="H720" t="s">
        <v>35</v>
      </c>
      <c r="I720" t="s">
        <v>53</v>
      </c>
      <c r="J720">
        <v>0.7</v>
      </c>
      <c r="K720">
        <v>9143</v>
      </c>
      <c r="L720" t="s">
        <v>26</v>
      </c>
      <c r="M720" t="s">
        <v>80</v>
      </c>
      <c r="N720" t="s">
        <v>55</v>
      </c>
      <c r="O720" t="s">
        <v>46</v>
      </c>
      <c r="P720" t="s">
        <v>38</v>
      </c>
      <c r="Q720">
        <v>9.1</v>
      </c>
      <c r="R720">
        <v>5</v>
      </c>
    </row>
    <row r="721" spans="1:18" x14ac:dyDescent="0.3">
      <c r="A721" t="s">
        <v>1710</v>
      </c>
      <c r="B721" t="s">
        <v>49</v>
      </c>
      <c r="C721" t="s">
        <v>32</v>
      </c>
      <c r="D721" t="s">
        <v>93</v>
      </c>
      <c r="E721" t="s">
        <v>1711</v>
      </c>
      <c r="F721">
        <v>2017</v>
      </c>
      <c r="G721" t="s">
        <v>352</v>
      </c>
      <c r="H721" t="s">
        <v>24</v>
      </c>
      <c r="I721" t="s">
        <v>25</v>
      </c>
      <c r="J721">
        <v>13.5</v>
      </c>
      <c r="K721">
        <v>40354</v>
      </c>
      <c r="L721" t="s">
        <v>73</v>
      </c>
      <c r="M721" t="s">
        <v>27</v>
      </c>
      <c r="N721" t="s">
        <v>55</v>
      </c>
      <c r="O721" t="s">
        <v>46</v>
      </c>
      <c r="P721" t="s">
        <v>38</v>
      </c>
      <c r="Q721">
        <v>4.5999999999999996</v>
      </c>
      <c r="R721">
        <v>9</v>
      </c>
    </row>
    <row r="722" spans="1:18" x14ac:dyDescent="0.3">
      <c r="A722" t="s">
        <v>1712</v>
      </c>
      <c r="B722" t="s">
        <v>19</v>
      </c>
      <c r="C722" t="s">
        <v>20</v>
      </c>
      <c r="D722" t="s">
        <v>41</v>
      </c>
      <c r="E722" t="s">
        <v>1713</v>
      </c>
      <c r="F722">
        <v>2023</v>
      </c>
      <c r="G722" t="s">
        <v>1171</v>
      </c>
      <c r="H722" t="s">
        <v>35</v>
      </c>
      <c r="I722" t="s">
        <v>100</v>
      </c>
      <c r="J722">
        <v>3.7</v>
      </c>
      <c r="K722">
        <v>2794</v>
      </c>
      <c r="L722" t="s">
        <v>36</v>
      </c>
      <c r="M722" t="s">
        <v>27</v>
      </c>
      <c r="N722" t="s">
        <v>28</v>
      </c>
      <c r="O722" t="s">
        <v>46</v>
      </c>
      <c r="P722" t="s">
        <v>74</v>
      </c>
      <c r="Q722">
        <v>5.6</v>
      </c>
      <c r="R722">
        <v>3</v>
      </c>
    </row>
    <row r="723" spans="1:18" x14ac:dyDescent="0.3">
      <c r="A723" t="s">
        <v>1714</v>
      </c>
      <c r="B723" t="s">
        <v>40</v>
      </c>
      <c r="C723" t="s">
        <v>112</v>
      </c>
      <c r="D723" t="s">
        <v>21</v>
      </c>
      <c r="E723" t="s">
        <v>1715</v>
      </c>
      <c r="F723">
        <v>2024</v>
      </c>
      <c r="G723" t="s">
        <v>159</v>
      </c>
      <c r="H723" t="s">
        <v>96</v>
      </c>
      <c r="I723" t="s">
        <v>25</v>
      </c>
      <c r="J723">
        <v>3.6</v>
      </c>
      <c r="K723">
        <v>37854</v>
      </c>
      <c r="L723" t="s">
        <v>36</v>
      </c>
      <c r="M723" t="s">
        <v>37</v>
      </c>
      <c r="N723" t="s">
        <v>28</v>
      </c>
      <c r="O723" t="s">
        <v>29</v>
      </c>
      <c r="P723" t="s">
        <v>56</v>
      </c>
      <c r="Q723">
        <v>6</v>
      </c>
      <c r="R723">
        <v>2</v>
      </c>
    </row>
    <row r="724" spans="1:18" x14ac:dyDescent="0.3">
      <c r="A724" t="s">
        <v>1716</v>
      </c>
      <c r="B724" t="s">
        <v>19</v>
      </c>
      <c r="C724" t="s">
        <v>32</v>
      </c>
      <c r="D724" t="s">
        <v>77</v>
      </c>
      <c r="E724" t="s">
        <v>1717</v>
      </c>
      <c r="F724">
        <v>2024</v>
      </c>
      <c r="G724" t="s">
        <v>941</v>
      </c>
      <c r="H724" t="s">
        <v>96</v>
      </c>
      <c r="I724" t="s">
        <v>44</v>
      </c>
      <c r="J724">
        <v>2</v>
      </c>
      <c r="K724">
        <v>9673</v>
      </c>
      <c r="L724" t="s">
        <v>45</v>
      </c>
      <c r="M724" t="s">
        <v>37</v>
      </c>
      <c r="N724" t="s">
        <v>55</v>
      </c>
      <c r="O724" t="s">
        <v>46</v>
      </c>
      <c r="P724" t="s">
        <v>56</v>
      </c>
      <c r="Q724">
        <v>4.5</v>
      </c>
      <c r="R724">
        <v>2</v>
      </c>
    </row>
    <row r="725" spans="1:18" x14ac:dyDescent="0.3">
      <c r="A725" t="s">
        <v>1718</v>
      </c>
      <c r="B725" t="s">
        <v>40</v>
      </c>
      <c r="C725" t="s">
        <v>20</v>
      </c>
      <c r="D725" t="s">
        <v>41</v>
      </c>
      <c r="E725" t="s">
        <v>1719</v>
      </c>
      <c r="F725">
        <v>2024</v>
      </c>
      <c r="G725" t="s">
        <v>1720</v>
      </c>
      <c r="H725" t="s">
        <v>96</v>
      </c>
      <c r="I725" t="s">
        <v>100</v>
      </c>
      <c r="J725">
        <v>16.3</v>
      </c>
      <c r="K725">
        <v>20728</v>
      </c>
      <c r="L725" t="s">
        <v>101</v>
      </c>
      <c r="M725" t="s">
        <v>27</v>
      </c>
      <c r="N725" t="s">
        <v>28</v>
      </c>
      <c r="O725" t="s">
        <v>46</v>
      </c>
      <c r="P725" t="s">
        <v>47</v>
      </c>
      <c r="Q725">
        <v>7.1</v>
      </c>
      <c r="R725">
        <v>2</v>
      </c>
    </row>
    <row r="726" spans="1:18" x14ac:dyDescent="0.3">
      <c r="A726" t="s">
        <v>1721</v>
      </c>
      <c r="B726" t="s">
        <v>49</v>
      </c>
      <c r="C726" t="s">
        <v>32</v>
      </c>
      <c r="D726" t="s">
        <v>93</v>
      </c>
      <c r="E726" t="s">
        <v>1722</v>
      </c>
      <c r="F726">
        <v>2022</v>
      </c>
      <c r="G726" t="s">
        <v>1183</v>
      </c>
      <c r="H726" t="s">
        <v>24</v>
      </c>
      <c r="I726" t="s">
        <v>44</v>
      </c>
      <c r="J726">
        <v>12.1</v>
      </c>
      <c r="K726">
        <v>4431</v>
      </c>
      <c r="L726" t="s">
        <v>73</v>
      </c>
      <c r="M726" t="s">
        <v>80</v>
      </c>
      <c r="N726" t="s">
        <v>28</v>
      </c>
      <c r="O726" t="s">
        <v>29</v>
      </c>
      <c r="P726" t="s">
        <v>86</v>
      </c>
      <c r="Q726">
        <v>8.6</v>
      </c>
      <c r="R726">
        <v>4</v>
      </c>
    </row>
    <row r="727" spans="1:18" x14ac:dyDescent="0.3">
      <c r="A727" t="s">
        <v>1723</v>
      </c>
      <c r="B727" t="s">
        <v>49</v>
      </c>
      <c r="C727" t="s">
        <v>32</v>
      </c>
      <c r="D727" t="s">
        <v>21</v>
      </c>
      <c r="E727" t="s">
        <v>1724</v>
      </c>
      <c r="F727">
        <v>2017</v>
      </c>
      <c r="G727" t="s">
        <v>462</v>
      </c>
      <c r="H727" t="s">
        <v>35</v>
      </c>
      <c r="I727" t="s">
        <v>53</v>
      </c>
      <c r="J727">
        <v>2.7</v>
      </c>
      <c r="K727">
        <v>42283</v>
      </c>
      <c r="L727" t="s">
        <v>36</v>
      </c>
      <c r="M727" t="s">
        <v>80</v>
      </c>
      <c r="N727" t="s">
        <v>62</v>
      </c>
      <c r="O727" t="s">
        <v>118</v>
      </c>
      <c r="P727" t="s">
        <v>86</v>
      </c>
      <c r="Q727">
        <v>4.0999999999999996</v>
      </c>
      <c r="R727">
        <v>9</v>
      </c>
    </row>
    <row r="728" spans="1:18" x14ac:dyDescent="0.3">
      <c r="A728" t="s">
        <v>1725</v>
      </c>
      <c r="B728" t="s">
        <v>58</v>
      </c>
      <c r="C728" t="s">
        <v>112</v>
      </c>
      <c r="D728" t="s">
        <v>77</v>
      </c>
      <c r="E728" t="s">
        <v>1726</v>
      </c>
      <c r="F728">
        <v>2016</v>
      </c>
      <c r="G728" t="s">
        <v>326</v>
      </c>
      <c r="H728" t="s">
        <v>35</v>
      </c>
      <c r="I728" t="s">
        <v>25</v>
      </c>
      <c r="J728">
        <v>3</v>
      </c>
      <c r="K728">
        <v>14853</v>
      </c>
      <c r="L728" t="s">
        <v>26</v>
      </c>
      <c r="M728" t="s">
        <v>37</v>
      </c>
      <c r="N728" t="s">
        <v>62</v>
      </c>
      <c r="O728" t="s">
        <v>46</v>
      </c>
      <c r="P728" t="s">
        <v>38</v>
      </c>
      <c r="Q728">
        <v>2.2999999999999998</v>
      </c>
      <c r="R728">
        <v>10</v>
      </c>
    </row>
    <row r="729" spans="1:18" x14ac:dyDescent="0.3">
      <c r="A729" t="s">
        <v>1727</v>
      </c>
      <c r="B729" t="s">
        <v>49</v>
      </c>
      <c r="C729" t="s">
        <v>32</v>
      </c>
      <c r="D729" t="s">
        <v>21</v>
      </c>
      <c r="E729" t="s">
        <v>1728</v>
      </c>
      <c r="F729">
        <v>2019</v>
      </c>
      <c r="G729" t="s">
        <v>751</v>
      </c>
      <c r="H729" t="s">
        <v>24</v>
      </c>
      <c r="I729" t="s">
        <v>61</v>
      </c>
      <c r="J729">
        <v>6</v>
      </c>
      <c r="K729">
        <v>29918</v>
      </c>
      <c r="L729" t="s">
        <v>36</v>
      </c>
      <c r="M729" t="s">
        <v>80</v>
      </c>
      <c r="N729" t="s">
        <v>62</v>
      </c>
      <c r="O729" t="s">
        <v>29</v>
      </c>
      <c r="P729" t="s">
        <v>30</v>
      </c>
      <c r="Q729">
        <v>3.1</v>
      </c>
      <c r="R729">
        <v>7</v>
      </c>
    </row>
    <row r="730" spans="1:18" x14ac:dyDescent="0.3">
      <c r="A730" t="s">
        <v>1729</v>
      </c>
      <c r="B730" t="s">
        <v>49</v>
      </c>
      <c r="C730" t="s">
        <v>76</v>
      </c>
      <c r="D730" t="s">
        <v>41</v>
      </c>
      <c r="E730" t="s">
        <v>1730</v>
      </c>
      <c r="F730">
        <v>2022</v>
      </c>
      <c r="G730" t="s">
        <v>23</v>
      </c>
      <c r="H730" t="s">
        <v>24</v>
      </c>
      <c r="I730" t="s">
        <v>44</v>
      </c>
      <c r="J730">
        <v>6.8</v>
      </c>
      <c r="K730">
        <v>23357</v>
      </c>
      <c r="L730" t="s">
        <v>68</v>
      </c>
      <c r="M730" t="s">
        <v>54</v>
      </c>
      <c r="N730" t="s">
        <v>28</v>
      </c>
      <c r="O730" t="s">
        <v>118</v>
      </c>
      <c r="P730" t="s">
        <v>30</v>
      </c>
      <c r="Q730">
        <v>1.4</v>
      </c>
      <c r="R730">
        <v>4</v>
      </c>
    </row>
    <row r="731" spans="1:18" x14ac:dyDescent="0.3">
      <c r="A731" t="s">
        <v>1731</v>
      </c>
      <c r="B731" t="s">
        <v>19</v>
      </c>
      <c r="C731" t="s">
        <v>112</v>
      </c>
      <c r="D731" t="s">
        <v>21</v>
      </c>
      <c r="E731" t="s">
        <v>1732</v>
      </c>
      <c r="F731">
        <v>2017</v>
      </c>
      <c r="G731" t="s">
        <v>1705</v>
      </c>
      <c r="H731" t="s">
        <v>35</v>
      </c>
      <c r="I731" t="s">
        <v>53</v>
      </c>
      <c r="J731">
        <v>10.8</v>
      </c>
      <c r="K731">
        <v>33587</v>
      </c>
      <c r="L731" t="s">
        <v>26</v>
      </c>
      <c r="M731" t="s">
        <v>37</v>
      </c>
      <c r="N731" t="s">
        <v>62</v>
      </c>
      <c r="O731" t="s">
        <v>46</v>
      </c>
      <c r="P731" t="s">
        <v>86</v>
      </c>
      <c r="Q731">
        <v>5.7</v>
      </c>
      <c r="R731">
        <v>9</v>
      </c>
    </row>
    <row r="732" spans="1:18" x14ac:dyDescent="0.3">
      <c r="A732" t="s">
        <v>1733</v>
      </c>
      <c r="B732" t="s">
        <v>19</v>
      </c>
      <c r="C732" t="s">
        <v>64</v>
      </c>
      <c r="D732" t="s">
        <v>77</v>
      </c>
      <c r="E732" t="s">
        <v>1734</v>
      </c>
      <c r="F732">
        <v>2023</v>
      </c>
      <c r="G732" t="s">
        <v>117</v>
      </c>
      <c r="H732" t="s">
        <v>96</v>
      </c>
      <c r="I732" t="s">
        <v>85</v>
      </c>
      <c r="J732">
        <v>3.7</v>
      </c>
      <c r="K732">
        <v>36344</v>
      </c>
      <c r="L732" t="s">
        <v>45</v>
      </c>
      <c r="M732" t="s">
        <v>27</v>
      </c>
      <c r="N732" t="s">
        <v>55</v>
      </c>
      <c r="O732" t="s">
        <v>46</v>
      </c>
      <c r="P732" t="s">
        <v>56</v>
      </c>
      <c r="Q732">
        <v>3</v>
      </c>
      <c r="R732">
        <v>3</v>
      </c>
    </row>
    <row r="733" spans="1:18" x14ac:dyDescent="0.3">
      <c r="A733" t="s">
        <v>1735</v>
      </c>
      <c r="B733" t="s">
        <v>40</v>
      </c>
      <c r="C733" t="s">
        <v>64</v>
      </c>
      <c r="D733" t="s">
        <v>21</v>
      </c>
      <c r="E733" t="s">
        <v>1736</v>
      </c>
      <c r="F733">
        <v>2024</v>
      </c>
      <c r="G733" t="s">
        <v>455</v>
      </c>
      <c r="H733" t="s">
        <v>24</v>
      </c>
      <c r="I733" t="s">
        <v>25</v>
      </c>
      <c r="J733">
        <v>5.2</v>
      </c>
      <c r="K733">
        <v>43390</v>
      </c>
      <c r="L733" t="s">
        <v>68</v>
      </c>
      <c r="M733" t="s">
        <v>54</v>
      </c>
      <c r="N733" t="s">
        <v>62</v>
      </c>
      <c r="O733" t="s">
        <v>46</v>
      </c>
      <c r="P733" t="s">
        <v>47</v>
      </c>
      <c r="Q733">
        <v>7.2</v>
      </c>
      <c r="R733">
        <v>2</v>
      </c>
    </row>
    <row r="734" spans="1:18" x14ac:dyDescent="0.3">
      <c r="A734" t="s">
        <v>1737</v>
      </c>
      <c r="B734" t="s">
        <v>70</v>
      </c>
      <c r="C734" t="s">
        <v>76</v>
      </c>
      <c r="D734" t="s">
        <v>93</v>
      </c>
      <c r="E734" t="s">
        <v>1738</v>
      </c>
      <c r="F734">
        <v>2016</v>
      </c>
      <c r="G734" t="s">
        <v>225</v>
      </c>
      <c r="H734" t="s">
        <v>24</v>
      </c>
      <c r="I734" t="s">
        <v>85</v>
      </c>
      <c r="J734">
        <v>9.6</v>
      </c>
      <c r="K734">
        <v>16492</v>
      </c>
      <c r="L734" t="s">
        <v>68</v>
      </c>
      <c r="M734" t="s">
        <v>80</v>
      </c>
      <c r="N734" t="s">
        <v>55</v>
      </c>
      <c r="O734" t="s">
        <v>118</v>
      </c>
      <c r="P734" t="s">
        <v>86</v>
      </c>
      <c r="Q734">
        <v>8.5</v>
      </c>
      <c r="R734">
        <v>10</v>
      </c>
    </row>
    <row r="735" spans="1:18" x14ac:dyDescent="0.3">
      <c r="A735" t="s">
        <v>1739</v>
      </c>
      <c r="B735" t="s">
        <v>19</v>
      </c>
      <c r="C735" t="s">
        <v>64</v>
      </c>
      <c r="D735" t="s">
        <v>41</v>
      </c>
      <c r="E735" t="s">
        <v>1740</v>
      </c>
      <c r="F735">
        <v>2024</v>
      </c>
      <c r="G735" t="s">
        <v>52</v>
      </c>
      <c r="H735" t="s">
        <v>24</v>
      </c>
      <c r="I735" t="s">
        <v>44</v>
      </c>
      <c r="J735">
        <v>2</v>
      </c>
      <c r="K735">
        <v>20233</v>
      </c>
      <c r="L735" t="s">
        <v>45</v>
      </c>
      <c r="M735" t="s">
        <v>27</v>
      </c>
      <c r="N735" t="s">
        <v>28</v>
      </c>
      <c r="O735" t="s">
        <v>118</v>
      </c>
      <c r="P735" t="s">
        <v>38</v>
      </c>
      <c r="Q735">
        <v>5.3</v>
      </c>
      <c r="R735">
        <v>2</v>
      </c>
    </row>
    <row r="736" spans="1:18" x14ac:dyDescent="0.3">
      <c r="A736" t="s">
        <v>1741</v>
      </c>
      <c r="B736" t="s">
        <v>58</v>
      </c>
      <c r="C736" t="s">
        <v>76</v>
      </c>
      <c r="D736" t="s">
        <v>93</v>
      </c>
      <c r="E736" t="s">
        <v>1742</v>
      </c>
      <c r="F736">
        <v>2025</v>
      </c>
      <c r="G736" t="s">
        <v>462</v>
      </c>
      <c r="H736" t="s">
        <v>35</v>
      </c>
      <c r="I736" t="s">
        <v>25</v>
      </c>
      <c r="J736">
        <v>16</v>
      </c>
      <c r="K736">
        <v>9671</v>
      </c>
      <c r="L736" t="s">
        <v>36</v>
      </c>
      <c r="M736" t="s">
        <v>80</v>
      </c>
      <c r="N736" t="s">
        <v>62</v>
      </c>
      <c r="O736" t="s">
        <v>29</v>
      </c>
      <c r="P736" t="s">
        <v>38</v>
      </c>
      <c r="Q736">
        <v>0.6</v>
      </c>
      <c r="R736">
        <v>1</v>
      </c>
    </row>
    <row r="737" spans="1:18" x14ac:dyDescent="0.3">
      <c r="A737" t="s">
        <v>1743</v>
      </c>
      <c r="B737" t="s">
        <v>49</v>
      </c>
      <c r="C737" t="s">
        <v>20</v>
      </c>
      <c r="D737" t="s">
        <v>21</v>
      </c>
      <c r="E737" t="s">
        <v>1744</v>
      </c>
      <c r="F737">
        <v>2020</v>
      </c>
      <c r="G737" t="s">
        <v>212</v>
      </c>
      <c r="H737" t="s">
        <v>96</v>
      </c>
      <c r="I737" t="s">
        <v>25</v>
      </c>
      <c r="J737">
        <v>17.100000000000001</v>
      </c>
      <c r="K737">
        <v>36110</v>
      </c>
      <c r="L737" t="s">
        <v>101</v>
      </c>
      <c r="M737" t="s">
        <v>80</v>
      </c>
      <c r="N737" t="s">
        <v>62</v>
      </c>
      <c r="O737" t="s">
        <v>118</v>
      </c>
      <c r="P737" t="s">
        <v>56</v>
      </c>
      <c r="Q737">
        <v>6.9</v>
      </c>
      <c r="R737">
        <v>6</v>
      </c>
    </row>
    <row r="738" spans="1:18" x14ac:dyDescent="0.3">
      <c r="A738" t="s">
        <v>1745</v>
      </c>
      <c r="B738" t="s">
        <v>40</v>
      </c>
      <c r="C738" t="s">
        <v>112</v>
      </c>
      <c r="D738" t="s">
        <v>77</v>
      </c>
      <c r="E738" t="s">
        <v>1746</v>
      </c>
      <c r="F738">
        <v>2022</v>
      </c>
      <c r="G738" t="s">
        <v>151</v>
      </c>
      <c r="H738" t="s">
        <v>35</v>
      </c>
      <c r="I738" t="s">
        <v>100</v>
      </c>
      <c r="J738">
        <v>6.7</v>
      </c>
      <c r="K738">
        <v>4836</v>
      </c>
      <c r="L738" t="s">
        <v>36</v>
      </c>
      <c r="M738" t="s">
        <v>27</v>
      </c>
      <c r="N738" t="s">
        <v>55</v>
      </c>
      <c r="O738" t="s">
        <v>29</v>
      </c>
      <c r="P738" t="s">
        <v>86</v>
      </c>
      <c r="Q738">
        <v>9.6999999999999993</v>
      </c>
      <c r="R738">
        <v>4</v>
      </c>
    </row>
    <row r="739" spans="1:18" x14ac:dyDescent="0.3">
      <c r="A739" t="s">
        <v>1747</v>
      </c>
      <c r="B739" t="s">
        <v>40</v>
      </c>
      <c r="C739" t="s">
        <v>32</v>
      </c>
      <c r="D739" t="s">
        <v>50</v>
      </c>
      <c r="E739" t="s">
        <v>1748</v>
      </c>
      <c r="F739">
        <v>2019</v>
      </c>
      <c r="G739" t="s">
        <v>344</v>
      </c>
      <c r="H739" t="s">
        <v>35</v>
      </c>
      <c r="I739" t="s">
        <v>44</v>
      </c>
      <c r="J739">
        <v>5.6</v>
      </c>
      <c r="K739">
        <v>33162</v>
      </c>
      <c r="L739" t="s">
        <v>68</v>
      </c>
      <c r="M739" t="s">
        <v>37</v>
      </c>
      <c r="N739" t="s">
        <v>28</v>
      </c>
      <c r="O739" t="s">
        <v>29</v>
      </c>
      <c r="P739" t="s">
        <v>38</v>
      </c>
      <c r="Q739">
        <v>6.5</v>
      </c>
      <c r="R739">
        <v>7</v>
      </c>
    </row>
    <row r="740" spans="1:18" x14ac:dyDescent="0.3">
      <c r="A740" t="s">
        <v>1749</v>
      </c>
      <c r="B740" t="s">
        <v>70</v>
      </c>
      <c r="C740" t="s">
        <v>32</v>
      </c>
      <c r="D740" t="s">
        <v>50</v>
      </c>
      <c r="E740" t="s">
        <v>1750</v>
      </c>
      <c r="F740">
        <v>2020</v>
      </c>
      <c r="G740" t="s">
        <v>305</v>
      </c>
      <c r="H740" t="s">
        <v>96</v>
      </c>
      <c r="I740" t="s">
        <v>85</v>
      </c>
      <c r="J740">
        <v>16.100000000000001</v>
      </c>
      <c r="K740">
        <v>33499</v>
      </c>
      <c r="L740" t="s">
        <v>26</v>
      </c>
      <c r="M740" t="s">
        <v>37</v>
      </c>
      <c r="N740" t="s">
        <v>28</v>
      </c>
      <c r="O740" t="s">
        <v>46</v>
      </c>
      <c r="P740" t="s">
        <v>47</v>
      </c>
      <c r="Q740">
        <v>3.6</v>
      </c>
      <c r="R740">
        <v>6</v>
      </c>
    </row>
    <row r="741" spans="1:18" x14ac:dyDescent="0.3">
      <c r="A741" t="s">
        <v>1751</v>
      </c>
      <c r="B741" t="s">
        <v>19</v>
      </c>
      <c r="C741" t="s">
        <v>20</v>
      </c>
      <c r="D741" t="s">
        <v>65</v>
      </c>
      <c r="E741" t="s">
        <v>1752</v>
      </c>
      <c r="F741">
        <v>2019</v>
      </c>
      <c r="G741" t="s">
        <v>763</v>
      </c>
      <c r="H741" t="s">
        <v>24</v>
      </c>
      <c r="I741" t="s">
        <v>53</v>
      </c>
      <c r="J741">
        <v>0.7</v>
      </c>
      <c r="K741">
        <v>29733</v>
      </c>
      <c r="L741" t="s">
        <v>36</v>
      </c>
      <c r="M741" t="s">
        <v>54</v>
      </c>
      <c r="N741" t="s">
        <v>28</v>
      </c>
      <c r="O741" t="s">
        <v>46</v>
      </c>
      <c r="P741" t="s">
        <v>74</v>
      </c>
      <c r="Q741">
        <v>9</v>
      </c>
      <c r="R741">
        <v>7</v>
      </c>
    </row>
    <row r="742" spans="1:18" x14ac:dyDescent="0.3">
      <c r="A742" t="s">
        <v>1753</v>
      </c>
      <c r="B742" t="s">
        <v>58</v>
      </c>
      <c r="C742" t="s">
        <v>112</v>
      </c>
      <c r="D742" t="s">
        <v>21</v>
      </c>
      <c r="E742" t="s">
        <v>1754</v>
      </c>
      <c r="F742">
        <v>2020</v>
      </c>
      <c r="G742" t="s">
        <v>159</v>
      </c>
      <c r="H742" t="s">
        <v>35</v>
      </c>
      <c r="I742" t="s">
        <v>53</v>
      </c>
      <c r="J742">
        <v>4.5</v>
      </c>
      <c r="K742">
        <v>27410</v>
      </c>
      <c r="L742" t="s">
        <v>68</v>
      </c>
      <c r="M742" t="s">
        <v>37</v>
      </c>
      <c r="N742" t="s">
        <v>55</v>
      </c>
      <c r="O742" t="s">
        <v>118</v>
      </c>
      <c r="P742" t="s">
        <v>56</v>
      </c>
      <c r="Q742">
        <v>5.6</v>
      </c>
      <c r="R742">
        <v>6</v>
      </c>
    </row>
    <row r="743" spans="1:18" x14ac:dyDescent="0.3">
      <c r="A743" t="s">
        <v>1755</v>
      </c>
      <c r="B743" t="s">
        <v>58</v>
      </c>
      <c r="C743" t="s">
        <v>76</v>
      </c>
      <c r="D743" t="s">
        <v>21</v>
      </c>
      <c r="E743" t="s">
        <v>1756</v>
      </c>
      <c r="F743">
        <v>2018</v>
      </c>
      <c r="G743" t="s">
        <v>763</v>
      </c>
      <c r="H743" t="s">
        <v>24</v>
      </c>
      <c r="I743" t="s">
        <v>25</v>
      </c>
      <c r="J743">
        <v>8.1</v>
      </c>
      <c r="K743">
        <v>25042</v>
      </c>
      <c r="L743" t="s">
        <v>101</v>
      </c>
      <c r="M743" t="s">
        <v>54</v>
      </c>
      <c r="N743" t="s">
        <v>28</v>
      </c>
      <c r="O743" t="s">
        <v>29</v>
      </c>
      <c r="P743" t="s">
        <v>86</v>
      </c>
      <c r="Q743">
        <v>0.9</v>
      </c>
      <c r="R743">
        <v>8</v>
      </c>
    </row>
    <row r="744" spans="1:18" x14ac:dyDescent="0.3">
      <c r="A744" t="s">
        <v>1757</v>
      </c>
      <c r="B744" t="s">
        <v>70</v>
      </c>
      <c r="C744" t="s">
        <v>112</v>
      </c>
      <c r="D744" t="s">
        <v>21</v>
      </c>
      <c r="E744" t="s">
        <v>1758</v>
      </c>
      <c r="F744">
        <v>2020</v>
      </c>
      <c r="G744" t="s">
        <v>973</v>
      </c>
      <c r="H744" t="s">
        <v>35</v>
      </c>
      <c r="I744" t="s">
        <v>85</v>
      </c>
      <c r="J744">
        <v>17.3</v>
      </c>
      <c r="K744">
        <v>18919</v>
      </c>
      <c r="L744" t="s">
        <v>26</v>
      </c>
      <c r="M744" t="s">
        <v>27</v>
      </c>
      <c r="N744" t="s">
        <v>55</v>
      </c>
      <c r="O744" t="s">
        <v>46</v>
      </c>
      <c r="P744" t="s">
        <v>47</v>
      </c>
      <c r="Q744">
        <v>8.1</v>
      </c>
      <c r="R744">
        <v>6</v>
      </c>
    </row>
    <row r="745" spans="1:18" x14ac:dyDescent="0.3">
      <c r="A745" t="s">
        <v>1759</v>
      </c>
      <c r="B745" t="s">
        <v>70</v>
      </c>
      <c r="C745" t="s">
        <v>76</v>
      </c>
      <c r="D745" t="s">
        <v>93</v>
      </c>
      <c r="E745" t="s">
        <v>1760</v>
      </c>
      <c r="F745">
        <v>2025</v>
      </c>
      <c r="G745" t="s">
        <v>1171</v>
      </c>
      <c r="H745" t="s">
        <v>35</v>
      </c>
      <c r="I745" t="s">
        <v>25</v>
      </c>
      <c r="J745">
        <v>15.3</v>
      </c>
      <c r="K745">
        <v>26983</v>
      </c>
      <c r="L745" t="s">
        <v>73</v>
      </c>
      <c r="M745" t="s">
        <v>80</v>
      </c>
      <c r="N745" t="s">
        <v>28</v>
      </c>
      <c r="O745" t="s">
        <v>29</v>
      </c>
      <c r="P745" t="s">
        <v>56</v>
      </c>
      <c r="Q745">
        <v>2</v>
      </c>
      <c r="R745">
        <v>1</v>
      </c>
    </row>
    <row r="746" spans="1:18" x14ac:dyDescent="0.3">
      <c r="A746" t="s">
        <v>1761</v>
      </c>
      <c r="B746" t="s">
        <v>40</v>
      </c>
      <c r="C746" t="s">
        <v>112</v>
      </c>
      <c r="D746" t="s">
        <v>65</v>
      </c>
      <c r="E746" t="s">
        <v>1762</v>
      </c>
      <c r="F746">
        <v>2022</v>
      </c>
      <c r="G746" t="s">
        <v>820</v>
      </c>
      <c r="H746" t="s">
        <v>35</v>
      </c>
      <c r="I746" t="s">
        <v>85</v>
      </c>
      <c r="J746">
        <v>17.600000000000001</v>
      </c>
      <c r="K746">
        <v>2026</v>
      </c>
      <c r="L746" t="s">
        <v>36</v>
      </c>
      <c r="M746" t="s">
        <v>27</v>
      </c>
      <c r="N746" t="s">
        <v>55</v>
      </c>
      <c r="O746" t="s">
        <v>118</v>
      </c>
      <c r="P746" t="s">
        <v>47</v>
      </c>
      <c r="Q746">
        <v>1.3</v>
      </c>
      <c r="R746">
        <v>4</v>
      </c>
    </row>
    <row r="747" spans="1:18" x14ac:dyDescent="0.3">
      <c r="A747" t="s">
        <v>1763</v>
      </c>
      <c r="B747" t="s">
        <v>49</v>
      </c>
      <c r="C747" t="s">
        <v>64</v>
      </c>
      <c r="D747" t="s">
        <v>65</v>
      </c>
      <c r="E747" t="s">
        <v>1764</v>
      </c>
      <c r="F747">
        <v>2020</v>
      </c>
      <c r="G747" t="s">
        <v>174</v>
      </c>
      <c r="H747" t="s">
        <v>35</v>
      </c>
      <c r="I747" t="s">
        <v>61</v>
      </c>
      <c r="J747">
        <v>5.4</v>
      </c>
      <c r="K747">
        <v>9037</v>
      </c>
      <c r="L747" t="s">
        <v>68</v>
      </c>
      <c r="M747" t="s">
        <v>54</v>
      </c>
      <c r="N747" t="s">
        <v>62</v>
      </c>
      <c r="O747" t="s">
        <v>118</v>
      </c>
      <c r="P747" t="s">
        <v>56</v>
      </c>
      <c r="Q747">
        <v>5</v>
      </c>
      <c r="R747">
        <v>6</v>
      </c>
    </row>
    <row r="748" spans="1:18" x14ac:dyDescent="0.3">
      <c r="A748" t="s">
        <v>1765</v>
      </c>
      <c r="B748" t="s">
        <v>49</v>
      </c>
      <c r="C748" t="s">
        <v>32</v>
      </c>
      <c r="D748" t="s">
        <v>21</v>
      </c>
      <c r="E748" t="s">
        <v>1766</v>
      </c>
      <c r="F748">
        <v>2015</v>
      </c>
      <c r="G748" t="s">
        <v>212</v>
      </c>
      <c r="H748" t="s">
        <v>24</v>
      </c>
      <c r="I748" t="s">
        <v>100</v>
      </c>
      <c r="J748">
        <v>11.5</v>
      </c>
      <c r="K748">
        <v>11246</v>
      </c>
      <c r="L748" t="s">
        <v>73</v>
      </c>
      <c r="M748" t="s">
        <v>80</v>
      </c>
      <c r="N748" t="s">
        <v>28</v>
      </c>
      <c r="O748" t="s">
        <v>118</v>
      </c>
      <c r="P748" t="s">
        <v>30</v>
      </c>
      <c r="Q748">
        <v>3.1</v>
      </c>
      <c r="R748">
        <v>11</v>
      </c>
    </row>
    <row r="749" spans="1:18" x14ac:dyDescent="0.3">
      <c r="A749" t="s">
        <v>1767</v>
      </c>
      <c r="B749" t="s">
        <v>58</v>
      </c>
      <c r="C749" t="s">
        <v>112</v>
      </c>
      <c r="D749" t="s">
        <v>93</v>
      </c>
      <c r="E749" t="s">
        <v>1768</v>
      </c>
      <c r="F749">
        <v>2017</v>
      </c>
      <c r="G749" t="s">
        <v>168</v>
      </c>
      <c r="H749" t="s">
        <v>24</v>
      </c>
      <c r="I749" t="s">
        <v>44</v>
      </c>
      <c r="J749">
        <v>7.2</v>
      </c>
      <c r="K749">
        <v>35904</v>
      </c>
      <c r="L749" t="s">
        <v>68</v>
      </c>
      <c r="M749" t="s">
        <v>54</v>
      </c>
      <c r="N749" t="s">
        <v>28</v>
      </c>
      <c r="O749" t="s">
        <v>118</v>
      </c>
      <c r="P749" t="s">
        <v>47</v>
      </c>
      <c r="Q749">
        <v>5.0999999999999996</v>
      </c>
      <c r="R749">
        <v>9</v>
      </c>
    </row>
    <row r="750" spans="1:18" x14ac:dyDescent="0.3">
      <c r="A750" t="s">
        <v>1769</v>
      </c>
      <c r="B750" t="s">
        <v>19</v>
      </c>
      <c r="C750" t="s">
        <v>20</v>
      </c>
      <c r="D750" t="s">
        <v>41</v>
      </c>
      <c r="E750" t="s">
        <v>1770</v>
      </c>
      <c r="F750">
        <v>2022</v>
      </c>
      <c r="G750" t="s">
        <v>79</v>
      </c>
      <c r="H750" t="s">
        <v>24</v>
      </c>
      <c r="I750" t="s">
        <v>53</v>
      </c>
      <c r="J750">
        <v>17</v>
      </c>
      <c r="K750">
        <v>28898</v>
      </c>
      <c r="L750" t="s">
        <v>73</v>
      </c>
      <c r="M750" t="s">
        <v>37</v>
      </c>
      <c r="N750" t="s">
        <v>28</v>
      </c>
      <c r="O750" t="s">
        <v>29</v>
      </c>
      <c r="P750" t="s">
        <v>30</v>
      </c>
      <c r="Q750">
        <v>0.5</v>
      </c>
      <c r="R750">
        <v>4</v>
      </c>
    </row>
    <row r="751" spans="1:18" x14ac:dyDescent="0.3">
      <c r="A751" t="s">
        <v>1771</v>
      </c>
      <c r="B751" t="s">
        <v>70</v>
      </c>
      <c r="C751" t="s">
        <v>64</v>
      </c>
      <c r="D751" t="s">
        <v>77</v>
      </c>
      <c r="E751" t="s">
        <v>1772</v>
      </c>
      <c r="F751">
        <v>2024</v>
      </c>
      <c r="G751" t="s">
        <v>315</v>
      </c>
      <c r="H751" t="s">
        <v>24</v>
      </c>
      <c r="I751" t="s">
        <v>100</v>
      </c>
      <c r="J751">
        <v>2.2999999999999998</v>
      </c>
      <c r="K751">
        <v>13613</v>
      </c>
      <c r="L751" t="s">
        <v>68</v>
      </c>
      <c r="M751" t="s">
        <v>27</v>
      </c>
      <c r="N751" t="s">
        <v>55</v>
      </c>
      <c r="O751" t="s">
        <v>118</v>
      </c>
      <c r="P751" t="s">
        <v>86</v>
      </c>
      <c r="Q751">
        <v>1.6</v>
      </c>
      <c r="R751">
        <v>2</v>
      </c>
    </row>
    <row r="752" spans="1:18" x14ac:dyDescent="0.3">
      <c r="A752" t="s">
        <v>1773</v>
      </c>
      <c r="B752" t="s">
        <v>49</v>
      </c>
      <c r="C752" t="s">
        <v>64</v>
      </c>
      <c r="D752" t="s">
        <v>77</v>
      </c>
      <c r="E752" t="s">
        <v>1774</v>
      </c>
      <c r="F752">
        <v>2024</v>
      </c>
      <c r="G752" t="s">
        <v>820</v>
      </c>
      <c r="H752" t="s">
        <v>24</v>
      </c>
      <c r="I752" t="s">
        <v>53</v>
      </c>
      <c r="J752">
        <v>13.5</v>
      </c>
      <c r="K752">
        <v>40094</v>
      </c>
      <c r="L752" t="s">
        <v>45</v>
      </c>
      <c r="M752" t="s">
        <v>37</v>
      </c>
      <c r="N752" t="s">
        <v>28</v>
      </c>
      <c r="O752" t="s">
        <v>46</v>
      </c>
      <c r="P752" t="s">
        <v>86</v>
      </c>
      <c r="Q752">
        <v>2.5</v>
      </c>
      <c r="R752">
        <v>2</v>
      </c>
    </row>
    <row r="753" spans="1:18" x14ac:dyDescent="0.3">
      <c r="A753" t="s">
        <v>1775</v>
      </c>
      <c r="B753" t="s">
        <v>19</v>
      </c>
      <c r="C753" t="s">
        <v>64</v>
      </c>
      <c r="D753" t="s">
        <v>65</v>
      </c>
      <c r="E753" t="s">
        <v>1776</v>
      </c>
      <c r="F753">
        <v>2020</v>
      </c>
      <c r="G753" t="s">
        <v>1393</v>
      </c>
      <c r="H753" t="s">
        <v>35</v>
      </c>
      <c r="I753" t="s">
        <v>44</v>
      </c>
      <c r="J753">
        <v>1.2</v>
      </c>
      <c r="K753">
        <v>44383</v>
      </c>
      <c r="L753" t="s">
        <v>73</v>
      </c>
      <c r="M753" t="s">
        <v>54</v>
      </c>
      <c r="N753" t="s">
        <v>62</v>
      </c>
      <c r="O753" t="s">
        <v>118</v>
      </c>
      <c r="P753" t="s">
        <v>30</v>
      </c>
      <c r="Q753">
        <v>1.2</v>
      </c>
      <c r="R753">
        <v>6</v>
      </c>
    </row>
    <row r="754" spans="1:18" x14ac:dyDescent="0.3">
      <c r="A754" t="s">
        <v>1777</v>
      </c>
      <c r="B754" t="s">
        <v>70</v>
      </c>
      <c r="C754" t="s">
        <v>20</v>
      </c>
      <c r="D754" t="s">
        <v>65</v>
      </c>
      <c r="E754" t="s">
        <v>1778</v>
      </c>
      <c r="F754">
        <v>2022</v>
      </c>
      <c r="G754" t="s">
        <v>1154</v>
      </c>
      <c r="H754" t="s">
        <v>24</v>
      </c>
      <c r="I754" t="s">
        <v>61</v>
      </c>
      <c r="J754">
        <v>9.8000000000000007</v>
      </c>
      <c r="K754">
        <v>11571</v>
      </c>
      <c r="L754" t="s">
        <v>26</v>
      </c>
      <c r="M754" t="s">
        <v>54</v>
      </c>
      <c r="N754" t="s">
        <v>28</v>
      </c>
      <c r="O754" t="s">
        <v>118</v>
      </c>
      <c r="P754" t="s">
        <v>74</v>
      </c>
      <c r="Q754">
        <v>7.3</v>
      </c>
      <c r="R754">
        <v>4</v>
      </c>
    </row>
    <row r="755" spans="1:18" x14ac:dyDescent="0.3">
      <c r="A755" t="s">
        <v>1779</v>
      </c>
      <c r="B755" t="s">
        <v>70</v>
      </c>
      <c r="C755" t="s">
        <v>76</v>
      </c>
      <c r="D755" t="s">
        <v>65</v>
      </c>
      <c r="E755" t="s">
        <v>1780</v>
      </c>
      <c r="F755">
        <v>2022</v>
      </c>
      <c r="G755" t="s">
        <v>978</v>
      </c>
      <c r="H755" t="s">
        <v>35</v>
      </c>
      <c r="I755" t="s">
        <v>85</v>
      </c>
      <c r="J755">
        <v>1.7</v>
      </c>
      <c r="K755">
        <v>28959</v>
      </c>
      <c r="L755" t="s">
        <v>45</v>
      </c>
      <c r="M755" t="s">
        <v>80</v>
      </c>
      <c r="N755" t="s">
        <v>28</v>
      </c>
      <c r="O755" t="s">
        <v>46</v>
      </c>
      <c r="P755" t="s">
        <v>86</v>
      </c>
      <c r="Q755">
        <v>7.1</v>
      </c>
      <c r="R755">
        <v>4</v>
      </c>
    </row>
    <row r="756" spans="1:18" x14ac:dyDescent="0.3">
      <c r="A756" t="s">
        <v>1781</v>
      </c>
      <c r="B756" t="s">
        <v>19</v>
      </c>
      <c r="C756" t="s">
        <v>32</v>
      </c>
      <c r="D756" t="s">
        <v>41</v>
      </c>
      <c r="E756" t="s">
        <v>1782</v>
      </c>
      <c r="F756">
        <v>2016</v>
      </c>
      <c r="G756" t="s">
        <v>347</v>
      </c>
      <c r="H756" t="s">
        <v>35</v>
      </c>
      <c r="I756" t="s">
        <v>25</v>
      </c>
      <c r="J756">
        <v>3.8</v>
      </c>
      <c r="K756">
        <v>27550</v>
      </c>
      <c r="L756" t="s">
        <v>36</v>
      </c>
      <c r="M756" t="s">
        <v>80</v>
      </c>
      <c r="N756" t="s">
        <v>28</v>
      </c>
      <c r="O756" t="s">
        <v>118</v>
      </c>
      <c r="P756" t="s">
        <v>74</v>
      </c>
      <c r="Q756">
        <v>4.0999999999999996</v>
      </c>
      <c r="R756">
        <v>10</v>
      </c>
    </row>
    <row r="757" spans="1:18" x14ac:dyDescent="0.3">
      <c r="A757" t="s">
        <v>1783</v>
      </c>
      <c r="B757" t="s">
        <v>49</v>
      </c>
      <c r="C757" t="s">
        <v>20</v>
      </c>
      <c r="D757" t="s">
        <v>21</v>
      </c>
      <c r="E757" t="s">
        <v>1784</v>
      </c>
      <c r="F757">
        <v>2020</v>
      </c>
      <c r="G757" t="s">
        <v>326</v>
      </c>
      <c r="H757" t="s">
        <v>24</v>
      </c>
      <c r="I757" t="s">
        <v>61</v>
      </c>
      <c r="J757">
        <v>10.5</v>
      </c>
      <c r="K757">
        <v>40304</v>
      </c>
      <c r="L757" t="s">
        <v>101</v>
      </c>
      <c r="M757" t="s">
        <v>80</v>
      </c>
      <c r="N757" t="s">
        <v>62</v>
      </c>
      <c r="O757" t="s">
        <v>118</v>
      </c>
      <c r="P757" t="s">
        <v>74</v>
      </c>
      <c r="Q757">
        <v>7.2</v>
      </c>
      <c r="R757">
        <v>6</v>
      </c>
    </row>
    <row r="758" spans="1:18" x14ac:dyDescent="0.3">
      <c r="A758" t="s">
        <v>1785</v>
      </c>
      <c r="B758" t="s">
        <v>70</v>
      </c>
      <c r="C758" t="s">
        <v>64</v>
      </c>
      <c r="D758" t="s">
        <v>77</v>
      </c>
      <c r="E758" t="s">
        <v>1786</v>
      </c>
      <c r="F758">
        <v>2022</v>
      </c>
      <c r="G758" t="s">
        <v>129</v>
      </c>
      <c r="H758" t="s">
        <v>35</v>
      </c>
      <c r="I758" t="s">
        <v>100</v>
      </c>
      <c r="J758">
        <v>2.6</v>
      </c>
      <c r="K758">
        <v>16175</v>
      </c>
      <c r="L758" t="s">
        <v>26</v>
      </c>
      <c r="M758" t="s">
        <v>54</v>
      </c>
      <c r="N758" t="s">
        <v>55</v>
      </c>
      <c r="O758" t="s">
        <v>29</v>
      </c>
      <c r="P758" t="s">
        <v>38</v>
      </c>
      <c r="Q758">
        <v>1.9</v>
      </c>
      <c r="R758">
        <v>4</v>
      </c>
    </row>
    <row r="759" spans="1:18" x14ac:dyDescent="0.3">
      <c r="A759" t="s">
        <v>1787</v>
      </c>
      <c r="B759" t="s">
        <v>70</v>
      </c>
      <c r="C759" t="s">
        <v>112</v>
      </c>
      <c r="D759" t="s">
        <v>65</v>
      </c>
      <c r="E759" t="s">
        <v>1788</v>
      </c>
      <c r="F759">
        <v>2018</v>
      </c>
      <c r="G759" t="s">
        <v>462</v>
      </c>
      <c r="H759" t="s">
        <v>96</v>
      </c>
      <c r="I759" t="s">
        <v>61</v>
      </c>
      <c r="J759">
        <v>9.9</v>
      </c>
      <c r="K759">
        <v>1591</v>
      </c>
      <c r="L759" t="s">
        <v>101</v>
      </c>
      <c r="M759" t="s">
        <v>37</v>
      </c>
      <c r="N759" t="s">
        <v>62</v>
      </c>
      <c r="O759" t="s">
        <v>46</v>
      </c>
      <c r="P759" t="s">
        <v>86</v>
      </c>
      <c r="Q759">
        <v>3.6</v>
      </c>
      <c r="R759">
        <v>8</v>
      </c>
    </row>
    <row r="760" spans="1:18" x14ac:dyDescent="0.3">
      <c r="A760" t="s">
        <v>1789</v>
      </c>
      <c r="B760" t="s">
        <v>70</v>
      </c>
      <c r="C760" t="s">
        <v>64</v>
      </c>
      <c r="D760" t="s">
        <v>82</v>
      </c>
      <c r="E760" t="s">
        <v>1790</v>
      </c>
      <c r="F760">
        <v>2025</v>
      </c>
      <c r="G760" t="s">
        <v>177</v>
      </c>
      <c r="H760" t="s">
        <v>96</v>
      </c>
      <c r="I760" t="s">
        <v>53</v>
      </c>
      <c r="J760">
        <v>6.2</v>
      </c>
      <c r="K760">
        <v>5252</v>
      </c>
      <c r="L760" t="s">
        <v>101</v>
      </c>
      <c r="M760" t="s">
        <v>80</v>
      </c>
      <c r="N760" t="s">
        <v>55</v>
      </c>
      <c r="O760" t="s">
        <v>29</v>
      </c>
      <c r="P760" t="s">
        <v>38</v>
      </c>
      <c r="Q760">
        <v>9.6999999999999993</v>
      </c>
      <c r="R760">
        <v>1</v>
      </c>
    </row>
    <row r="761" spans="1:18" x14ac:dyDescent="0.3">
      <c r="A761" t="s">
        <v>1791</v>
      </c>
      <c r="B761" t="s">
        <v>19</v>
      </c>
      <c r="C761" t="s">
        <v>32</v>
      </c>
      <c r="D761" t="s">
        <v>65</v>
      </c>
      <c r="E761" t="s">
        <v>1792</v>
      </c>
      <c r="F761">
        <v>2016</v>
      </c>
      <c r="G761" t="s">
        <v>1580</v>
      </c>
      <c r="H761" t="s">
        <v>96</v>
      </c>
      <c r="I761" t="s">
        <v>100</v>
      </c>
      <c r="J761">
        <v>2.4</v>
      </c>
      <c r="K761">
        <v>26533</v>
      </c>
      <c r="L761" t="s">
        <v>101</v>
      </c>
      <c r="M761" t="s">
        <v>37</v>
      </c>
      <c r="N761" t="s">
        <v>62</v>
      </c>
      <c r="O761" t="s">
        <v>46</v>
      </c>
      <c r="P761" t="s">
        <v>74</v>
      </c>
      <c r="Q761">
        <v>5.7</v>
      </c>
      <c r="R761">
        <v>10</v>
      </c>
    </row>
    <row r="762" spans="1:18" x14ac:dyDescent="0.3">
      <c r="A762" t="s">
        <v>1793</v>
      </c>
      <c r="B762" t="s">
        <v>70</v>
      </c>
      <c r="C762" t="s">
        <v>20</v>
      </c>
      <c r="D762" t="s">
        <v>21</v>
      </c>
      <c r="E762" t="s">
        <v>1794</v>
      </c>
      <c r="F762">
        <v>2021</v>
      </c>
      <c r="G762" t="s">
        <v>715</v>
      </c>
      <c r="H762" t="s">
        <v>35</v>
      </c>
      <c r="I762" t="s">
        <v>85</v>
      </c>
      <c r="J762">
        <v>3.2</v>
      </c>
      <c r="K762">
        <v>16686</v>
      </c>
      <c r="L762" t="s">
        <v>101</v>
      </c>
      <c r="M762" t="s">
        <v>27</v>
      </c>
      <c r="N762" t="s">
        <v>55</v>
      </c>
      <c r="O762" t="s">
        <v>29</v>
      </c>
      <c r="P762" t="s">
        <v>47</v>
      </c>
      <c r="Q762">
        <v>1.4</v>
      </c>
      <c r="R762">
        <v>5</v>
      </c>
    </row>
    <row r="763" spans="1:18" x14ac:dyDescent="0.3">
      <c r="A763" t="s">
        <v>1795</v>
      </c>
      <c r="B763" t="s">
        <v>40</v>
      </c>
      <c r="C763" t="s">
        <v>64</v>
      </c>
      <c r="D763" t="s">
        <v>21</v>
      </c>
      <c r="E763" t="s">
        <v>1796</v>
      </c>
      <c r="F763">
        <v>2016</v>
      </c>
      <c r="G763" t="s">
        <v>501</v>
      </c>
      <c r="H763" t="s">
        <v>35</v>
      </c>
      <c r="I763" t="s">
        <v>25</v>
      </c>
      <c r="J763">
        <v>3.7</v>
      </c>
      <c r="K763">
        <v>19984</v>
      </c>
      <c r="L763" t="s">
        <v>26</v>
      </c>
      <c r="M763" t="s">
        <v>37</v>
      </c>
      <c r="N763" t="s">
        <v>28</v>
      </c>
      <c r="O763" t="s">
        <v>29</v>
      </c>
      <c r="P763" t="s">
        <v>47</v>
      </c>
      <c r="Q763">
        <v>7</v>
      </c>
      <c r="R763">
        <v>10</v>
      </c>
    </row>
    <row r="764" spans="1:18" x14ac:dyDescent="0.3">
      <c r="A764" t="s">
        <v>1797</v>
      </c>
      <c r="B764" t="s">
        <v>40</v>
      </c>
      <c r="C764" t="s">
        <v>112</v>
      </c>
      <c r="D764" t="s">
        <v>82</v>
      </c>
      <c r="E764" t="s">
        <v>1798</v>
      </c>
      <c r="F764">
        <v>2017</v>
      </c>
      <c r="G764" t="s">
        <v>107</v>
      </c>
      <c r="H764" t="s">
        <v>24</v>
      </c>
      <c r="I764" t="s">
        <v>25</v>
      </c>
      <c r="J764">
        <v>17.5</v>
      </c>
      <c r="K764">
        <v>8068</v>
      </c>
      <c r="L764" t="s">
        <v>101</v>
      </c>
      <c r="M764" t="s">
        <v>54</v>
      </c>
      <c r="N764" t="s">
        <v>62</v>
      </c>
      <c r="O764" t="s">
        <v>29</v>
      </c>
      <c r="P764" t="s">
        <v>74</v>
      </c>
      <c r="Q764">
        <v>1.4</v>
      </c>
      <c r="R764">
        <v>9</v>
      </c>
    </row>
    <row r="765" spans="1:18" x14ac:dyDescent="0.3">
      <c r="A765" t="s">
        <v>1799</v>
      </c>
      <c r="B765" t="s">
        <v>19</v>
      </c>
      <c r="C765" t="s">
        <v>112</v>
      </c>
      <c r="D765" t="s">
        <v>50</v>
      </c>
      <c r="E765" t="s">
        <v>1800</v>
      </c>
      <c r="F765">
        <v>2020</v>
      </c>
      <c r="G765" t="s">
        <v>352</v>
      </c>
      <c r="H765" t="s">
        <v>35</v>
      </c>
      <c r="I765" t="s">
        <v>44</v>
      </c>
      <c r="J765">
        <v>2.8</v>
      </c>
      <c r="K765">
        <v>6978</v>
      </c>
      <c r="L765" t="s">
        <v>68</v>
      </c>
      <c r="M765" t="s">
        <v>54</v>
      </c>
      <c r="N765" t="s">
        <v>62</v>
      </c>
      <c r="O765" t="s">
        <v>46</v>
      </c>
      <c r="P765" t="s">
        <v>30</v>
      </c>
      <c r="Q765">
        <v>8</v>
      </c>
      <c r="R765">
        <v>6</v>
      </c>
    </row>
    <row r="766" spans="1:18" x14ac:dyDescent="0.3">
      <c r="A766" t="s">
        <v>1801</v>
      </c>
      <c r="B766" t="s">
        <v>19</v>
      </c>
      <c r="C766" t="s">
        <v>32</v>
      </c>
      <c r="D766" t="s">
        <v>65</v>
      </c>
      <c r="E766" t="s">
        <v>1802</v>
      </c>
      <c r="F766">
        <v>2014</v>
      </c>
      <c r="G766" t="s">
        <v>215</v>
      </c>
      <c r="H766" t="s">
        <v>35</v>
      </c>
      <c r="I766" t="s">
        <v>25</v>
      </c>
      <c r="J766">
        <v>2</v>
      </c>
      <c r="K766">
        <v>10624</v>
      </c>
      <c r="L766" t="s">
        <v>36</v>
      </c>
      <c r="M766" t="s">
        <v>27</v>
      </c>
      <c r="N766" t="s">
        <v>28</v>
      </c>
      <c r="O766" t="s">
        <v>118</v>
      </c>
      <c r="P766" t="s">
        <v>86</v>
      </c>
      <c r="Q766">
        <v>5</v>
      </c>
      <c r="R766">
        <v>12</v>
      </c>
    </row>
    <row r="767" spans="1:18" x14ac:dyDescent="0.3">
      <c r="A767" t="s">
        <v>1803</v>
      </c>
      <c r="B767" t="s">
        <v>49</v>
      </c>
      <c r="C767" t="s">
        <v>20</v>
      </c>
      <c r="D767" t="s">
        <v>65</v>
      </c>
      <c r="E767" t="s">
        <v>1804</v>
      </c>
      <c r="F767">
        <v>2017</v>
      </c>
      <c r="G767" t="s">
        <v>1511</v>
      </c>
      <c r="H767" t="s">
        <v>35</v>
      </c>
      <c r="I767" t="s">
        <v>44</v>
      </c>
      <c r="J767">
        <v>14.9</v>
      </c>
      <c r="K767">
        <v>8238</v>
      </c>
      <c r="L767" t="s">
        <v>45</v>
      </c>
      <c r="M767" t="s">
        <v>37</v>
      </c>
      <c r="N767" t="s">
        <v>28</v>
      </c>
      <c r="O767" t="s">
        <v>46</v>
      </c>
      <c r="P767" t="s">
        <v>47</v>
      </c>
      <c r="Q767">
        <v>1.8</v>
      </c>
      <c r="R767">
        <v>9</v>
      </c>
    </row>
    <row r="768" spans="1:18" x14ac:dyDescent="0.3">
      <c r="A768" t="s">
        <v>1805</v>
      </c>
      <c r="B768" t="s">
        <v>40</v>
      </c>
      <c r="C768" t="s">
        <v>76</v>
      </c>
      <c r="D768" t="s">
        <v>82</v>
      </c>
      <c r="E768" t="s">
        <v>1806</v>
      </c>
      <c r="F768">
        <v>2017</v>
      </c>
      <c r="G768" t="s">
        <v>435</v>
      </c>
      <c r="H768" t="s">
        <v>24</v>
      </c>
      <c r="I768" t="s">
        <v>25</v>
      </c>
      <c r="J768">
        <v>5.5</v>
      </c>
      <c r="K768">
        <v>26714</v>
      </c>
      <c r="L768" t="s">
        <v>101</v>
      </c>
      <c r="M768" t="s">
        <v>80</v>
      </c>
      <c r="N768" t="s">
        <v>55</v>
      </c>
      <c r="O768" t="s">
        <v>29</v>
      </c>
      <c r="P768" t="s">
        <v>30</v>
      </c>
      <c r="Q768">
        <v>2.6</v>
      </c>
      <c r="R768">
        <v>9</v>
      </c>
    </row>
    <row r="769" spans="1:18" x14ac:dyDescent="0.3">
      <c r="A769" t="s">
        <v>1807</v>
      </c>
      <c r="B769" t="s">
        <v>19</v>
      </c>
      <c r="C769" t="s">
        <v>32</v>
      </c>
      <c r="D769" t="s">
        <v>77</v>
      </c>
      <c r="E769" t="s">
        <v>1808</v>
      </c>
      <c r="F769">
        <v>2018</v>
      </c>
      <c r="G769" t="s">
        <v>808</v>
      </c>
      <c r="H769" t="s">
        <v>24</v>
      </c>
      <c r="I769" t="s">
        <v>44</v>
      </c>
      <c r="J769">
        <v>16.2</v>
      </c>
      <c r="K769">
        <v>41116</v>
      </c>
      <c r="L769" t="s">
        <v>73</v>
      </c>
      <c r="M769" t="s">
        <v>54</v>
      </c>
      <c r="N769" t="s">
        <v>55</v>
      </c>
      <c r="O769" t="s">
        <v>46</v>
      </c>
      <c r="P769" t="s">
        <v>86</v>
      </c>
      <c r="Q769">
        <v>6.2</v>
      </c>
      <c r="R769">
        <v>8</v>
      </c>
    </row>
    <row r="770" spans="1:18" x14ac:dyDescent="0.3">
      <c r="A770" t="s">
        <v>1809</v>
      </c>
      <c r="B770" t="s">
        <v>40</v>
      </c>
      <c r="C770" t="s">
        <v>20</v>
      </c>
      <c r="D770" t="s">
        <v>93</v>
      </c>
      <c r="E770" t="s">
        <v>1810</v>
      </c>
      <c r="F770">
        <v>2024</v>
      </c>
      <c r="G770" t="s">
        <v>416</v>
      </c>
      <c r="H770" t="s">
        <v>35</v>
      </c>
      <c r="I770" t="s">
        <v>53</v>
      </c>
      <c r="J770">
        <v>15.8</v>
      </c>
      <c r="K770">
        <v>19266</v>
      </c>
      <c r="L770" t="s">
        <v>36</v>
      </c>
      <c r="M770" t="s">
        <v>37</v>
      </c>
      <c r="N770" t="s">
        <v>55</v>
      </c>
      <c r="O770" t="s">
        <v>46</v>
      </c>
      <c r="P770" t="s">
        <v>30</v>
      </c>
      <c r="Q770">
        <v>8</v>
      </c>
      <c r="R770">
        <v>2</v>
      </c>
    </row>
    <row r="771" spans="1:18" x14ac:dyDescent="0.3">
      <c r="A771" t="s">
        <v>1811</v>
      </c>
      <c r="B771" t="s">
        <v>40</v>
      </c>
      <c r="C771" t="s">
        <v>20</v>
      </c>
      <c r="D771" t="s">
        <v>21</v>
      </c>
      <c r="E771" t="s">
        <v>1812</v>
      </c>
      <c r="F771">
        <v>2016</v>
      </c>
      <c r="G771" t="s">
        <v>698</v>
      </c>
      <c r="H771" t="s">
        <v>24</v>
      </c>
      <c r="I771" t="s">
        <v>25</v>
      </c>
      <c r="J771">
        <v>14.4</v>
      </c>
      <c r="K771">
        <v>32854</v>
      </c>
      <c r="L771" t="s">
        <v>26</v>
      </c>
      <c r="M771" t="s">
        <v>80</v>
      </c>
      <c r="N771" t="s">
        <v>62</v>
      </c>
      <c r="O771" t="s">
        <v>118</v>
      </c>
      <c r="P771" t="s">
        <v>38</v>
      </c>
      <c r="Q771">
        <v>3.1</v>
      </c>
      <c r="R771">
        <v>10</v>
      </c>
    </row>
    <row r="772" spans="1:18" x14ac:dyDescent="0.3">
      <c r="A772" t="s">
        <v>1813</v>
      </c>
      <c r="B772" t="s">
        <v>40</v>
      </c>
      <c r="C772" t="s">
        <v>64</v>
      </c>
      <c r="D772" t="s">
        <v>50</v>
      </c>
      <c r="E772" t="s">
        <v>1814</v>
      </c>
      <c r="F772">
        <v>2015</v>
      </c>
      <c r="G772" t="s">
        <v>321</v>
      </c>
      <c r="H772" t="s">
        <v>24</v>
      </c>
      <c r="I772" t="s">
        <v>53</v>
      </c>
      <c r="J772">
        <v>9.1</v>
      </c>
      <c r="K772">
        <v>33041</v>
      </c>
      <c r="L772" t="s">
        <v>101</v>
      </c>
      <c r="M772" t="s">
        <v>27</v>
      </c>
      <c r="N772" t="s">
        <v>62</v>
      </c>
      <c r="O772" t="s">
        <v>46</v>
      </c>
      <c r="P772" t="s">
        <v>86</v>
      </c>
      <c r="Q772">
        <v>1.8</v>
      </c>
      <c r="R772">
        <v>11</v>
      </c>
    </row>
    <row r="773" spans="1:18" x14ac:dyDescent="0.3">
      <c r="A773" t="s">
        <v>1815</v>
      </c>
      <c r="B773" t="s">
        <v>58</v>
      </c>
      <c r="C773" t="s">
        <v>76</v>
      </c>
      <c r="D773" t="s">
        <v>93</v>
      </c>
      <c r="E773" t="s">
        <v>1816</v>
      </c>
      <c r="F773">
        <v>2024</v>
      </c>
      <c r="G773" t="s">
        <v>490</v>
      </c>
      <c r="H773" t="s">
        <v>24</v>
      </c>
      <c r="I773" t="s">
        <v>100</v>
      </c>
      <c r="J773">
        <v>9.1</v>
      </c>
      <c r="K773">
        <v>36641</v>
      </c>
      <c r="L773" t="s">
        <v>73</v>
      </c>
      <c r="M773" t="s">
        <v>27</v>
      </c>
      <c r="N773" t="s">
        <v>28</v>
      </c>
      <c r="O773" t="s">
        <v>46</v>
      </c>
      <c r="P773" t="s">
        <v>38</v>
      </c>
      <c r="Q773">
        <v>4.5</v>
      </c>
      <c r="R773">
        <v>2</v>
      </c>
    </row>
    <row r="774" spans="1:18" x14ac:dyDescent="0.3">
      <c r="A774" t="s">
        <v>1817</v>
      </c>
      <c r="B774" t="s">
        <v>40</v>
      </c>
      <c r="C774" t="s">
        <v>112</v>
      </c>
      <c r="D774" t="s">
        <v>21</v>
      </c>
      <c r="E774" t="s">
        <v>1818</v>
      </c>
      <c r="F774">
        <v>2023</v>
      </c>
      <c r="G774" t="s">
        <v>627</v>
      </c>
      <c r="H774" t="s">
        <v>24</v>
      </c>
      <c r="I774" t="s">
        <v>61</v>
      </c>
      <c r="J774">
        <v>17.899999999999999</v>
      </c>
      <c r="K774">
        <v>2624</v>
      </c>
      <c r="L774" t="s">
        <v>68</v>
      </c>
      <c r="M774" t="s">
        <v>27</v>
      </c>
      <c r="N774" t="s">
        <v>28</v>
      </c>
      <c r="O774" t="s">
        <v>29</v>
      </c>
      <c r="P774" t="s">
        <v>30</v>
      </c>
      <c r="Q774">
        <v>9.1999999999999993</v>
      </c>
      <c r="R774">
        <v>3</v>
      </c>
    </row>
    <row r="775" spans="1:18" x14ac:dyDescent="0.3">
      <c r="A775" t="s">
        <v>1819</v>
      </c>
      <c r="B775" t="s">
        <v>40</v>
      </c>
      <c r="C775" t="s">
        <v>20</v>
      </c>
      <c r="D775" t="s">
        <v>82</v>
      </c>
      <c r="E775" t="s">
        <v>1820</v>
      </c>
      <c r="F775">
        <v>2019</v>
      </c>
      <c r="G775" t="s">
        <v>698</v>
      </c>
      <c r="H775" t="s">
        <v>24</v>
      </c>
      <c r="I775" t="s">
        <v>100</v>
      </c>
      <c r="J775">
        <v>17.5</v>
      </c>
      <c r="K775">
        <v>29095</v>
      </c>
      <c r="L775" t="s">
        <v>73</v>
      </c>
      <c r="M775" t="s">
        <v>54</v>
      </c>
      <c r="N775" t="s">
        <v>28</v>
      </c>
      <c r="O775" t="s">
        <v>29</v>
      </c>
      <c r="P775" t="s">
        <v>38</v>
      </c>
      <c r="Q775">
        <v>1.8</v>
      </c>
      <c r="R775">
        <v>7</v>
      </c>
    </row>
    <row r="776" spans="1:18" x14ac:dyDescent="0.3">
      <c r="A776" t="s">
        <v>1821</v>
      </c>
      <c r="B776" t="s">
        <v>40</v>
      </c>
      <c r="C776" t="s">
        <v>76</v>
      </c>
      <c r="D776" t="s">
        <v>65</v>
      </c>
      <c r="E776" t="s">
        <v>1822</v>
      </c>
      <c r="F776">
        <v>2025</v>
      </c>
      <c r="G776" t="s">
        <v>635</v>
      </c>
      <c r="H776" t="s">
        <v>24</v>
      </c>
      <c r="I776" t="s">
        <v>85</v>
      </c>
      <c r="J776">
        <v>7</v>
      </c>
      <c r="K776">
        <v>8447</v>
      </c>
      <c r="L776" t="s">
        <v>101</v>
      </c>
      <c r="M776" t="s">
        <v>80</v>
      </c>
      <c r="N776" t="s">
        <v>55</v>
      </c>
      <c r="O776" t="s">
        <v>46</v>
      </c>
      <c r="P776" t="s">
        <v>56</v>
      </c>
      <c r="Q776">
        <v>0.8</v>
      </c>
      <c r="R776">
        <v>1</v>
      </c>
    </row>
    <row r="777" spans="1:18" x14ac:dyDescent="0.3">
      <c r="A777" t="s">
        <v>1823</v>
      </c>
      <c r="B777" t="s">
        <v>19</v>
      </c>
      <c r="C777" t="s">
        <v>64</v>
      </c>
      <c r="D777" t="s">
        <v>41</v>
      </c>
      <c r="E777" t="s">
        <v>1824</v>
      </c>
      <c r="F777">
        <v>2019</v>
      </c>
      <c r="G777" t="s">
        <v>239</v>
      </c>
      <c r="H777" t="s">
        <v>24</v>
      </c>
      <c r="I777" t="s">
        <v>85</v>
      </c>
      <c r="J777">
        <v>3.1</v>
      </c>
      <c r="K777">
        <v>13455</v>
      </c>
      <c r="L777" t="s">
        <v>36</v>
      </c>
      <c r="M777" t="s">
        <v>54</v>
      </c>
      <c r="N777" t="s">
        <v>62</v>
      </c>
      <c r="O777" t="s">
        <v>46</v>
      </c>
      <c r="P777" t="s">
        <v>38</v>
      </c>
      <c r="Q777">
        <v>9.5</v>
      </c>
      <c r="R777">
        <v>7</v>
      </c>
    </row>
    <row r="778" spans="1:18" x14ac:dyDescent="0.3">
      <c r="A778" t="s">
        <v>1825</v>
      </c>
      <c r="B778" t="s">
        <v>70</v>
      </c>
      <c r="C778" t="s">
        <v>76</v>
      </c>
      <c r="D778" t="s">
        <v>50</v>
      </c>
      <c r="E778" t="s">
        <v>1826</v>
      </c>
      <c r="F778">
        <v>2021</v>
      </c>
      <c r="G778" t="s">
        <v>557</v>
      </c>
      <c r="H778" t="s">
        <v>35</v>
      </c>
      <c r="I778" t="s">
        <v>44</v>
      </c>
      <c r="J778">
        <v>5.5</v>
      </c>
      <c r="K778">
        <v>11716</v>
      </c>
      <c r="L778" t="s">
        <v>26</v>
      </c>
      <c r="M778" t="s">
        <v>80</v>
      </c>
      <c r="N778" t="s">
        <v>62</v>
      </c>
      <c r="O778" t="s">
        <v>29</v>
      </c>
      <c r="P778" t="s">
        <v>74</v>
      </c>
      <c r="Q778">
        <v>2</v>
      </c>
      <c r="R778">
        <v>5</v>
      </c>
    </row>
    <row r="779" spans="1:18" x14ac:dyDescent="0.3">
      <c r="A779" t="s">
        <v>1827</v>
      </c>
      <c r="B779" t="s">
        <v>58</v>
      </c>
      <c r="C779" t="s">
        <v>32</v>
      </c>
      <c r="D779" t="s">
        <v>65</v>
      </c>
      <c r="E779" t="s">
        <v>1828</v>
      </c>
      <c r="F779">
        <v>2020</v>
      </c>
      <c r="G779" t="s">
        <v>416</v>
      </c>
      <c r="H779" t="s">
        <v>35</v>
      </c>
      <c r="I779" t="s">
        <v>100</v>
      </c>
      <c r="J779">
        <v>9.3000000000000007</v>
      </c>
      <c r="K779">
        <v>16397</v>
      </c>
      <c r="L779" t="s">
        <v>36</v>
      </c>
      <c r="M779" t="s">
        <v>54</v>
      </c>
      <c r="N779" t="s">
        <v>55</v>
      </c>
      <c r="O779" t="s">
        <v>29</v>
      </c>
      <c r="P779" t="s">
        <v>74</v>
      </c>
      <c r="Q779">
        <v>4.0999999999999996</v>
      </c>
      <c r="R779">
        <v>6</v>
      </c>
    </row>
    <row r="780" spans="1:18" x14ac:dyDescent="0.3">
      <c r="A780" t="s">
        <v>1829</v>
      </c>
      <c r="B780" t="s">
        <v>40</v>
      </c>
      <c r="C780" t="s">
        <v>76</v>
      </c>
      <c r="D780" t="s">
        <v>93</v>
      </c>
      <c r="E780" t="s">
        <v>1830</v>
      </c>
      <c r="F780">
        <v>2016</v>
      </c>
      <c r="G780" t="s">
        <v>315</v>
      </c>
      <c r="H780" t="s">
        <v>24</v>
      </c>
      <c r="I780" t="s">
        <v>85</v>
      </c>
      <c r="J780">
        <v>3.7</v>
      </c>
      <c r="K780">
        <v>38153</v>
      </c>
      <c r="L780" t="s">
        <v>45</v>
      </c>
      <c r="M780" t="s">
        <v>80</v>
      </c>
      <c r="N780" t="s">
        <v>62</v>
      </c>
      <c r="O780" t="s">
        <v>118</v>
      </c>
      <c r="P780" t="s">
        <v>47</v>
      </c>
      <c r="Q780">
        <v>3.5</v>
      </c>
      <c r="R780">
        <v>10</v>
      </c>
    </row>
    <row r="781" spans="1:18" x14ac:dyDescent="0.3">
      <c r="A781" t="s">
        <v>1831</v>
      </c>
      <c r="B781" t="s">
        <v>58</v>
      </c>
      <c r="C781" t="s">
        <v>64</v>
      </c>
      <c r="D781" t="s">
        <v>41</v>
      </c>
      <c r="E781" t="s">
        <v>1832</v>
      </c>
      <c r="F781">
        <v>2024</v>
      </c>
      <c r="G781" t="s">
        <v>421</v>
      </c>
      <c r="H781" t="s">
        <v>35</v>
      </c>
      <c r="I781" t="s">
        <v>25</v>
      </c>
      <c r="J781">
        <v>7.9</v>
      </c>
      <c r="K781">
        <v>19189</v>
      </c>
      <c r="L781" t="s">
        <v>26</v>
      </c>
      <c r="M781" t="s">
        <v>80</v>
      </c>
      <c r="N781" t="s">
        <v>28</v>
      </c>
      <c r="O781" t="s">
        <v>118</v>
      </c>
      <c r="P781" t="s">
        <v>74</v>
      </c>
      <c r="Q781">
        <v>7.9</v>
      </c>
      <c r="R781">
        <v>2</v>
      </c>
    </row>
    <row r="782" spans="1:18" x14ac:dyDescent="0.3">
      <c r="A782" t="s">
        <v>1833</v>
      </c>
      <c r="B782" t="s">
        <v>40</v>
      </c>
      <c r="C782" t="s">
        <v>20</v>
      </c>
      <c r="D782" t="s">
        <v>21</v>
      </c>
      <c r="E782" t="s">
        <v>1834</v>
      </c>
      <c r="F782">
        <v>2019</v>
      </c>
      <c r="G782" t="s">
        <v>720</v>
      </c>
      <c r="H782" t="s">
        <v>35</v>
      </c>
      <c r="I782" t="s">
        <v>44</v>
      </c>
      <c r="J782">
        <v>4.2</v>
      </c>
      <c r="K782">
        <v>2219</v>
      </c>
      <c r="L782" t="s">
        <v>68</v>
      </c>
      <c r="M782" t="s">
        <v>54</v>
      </c>
      <c r="N782" t="s">
        <v>62</v>
      </c>
      <c r="O782" t="s">
        <v>29</v>
      </c>
      <c r="P782" t="s">
        <v>38</v>
      </c>
      <c r="Q782">
        <v>9.3000000000000007</v>
      </c>
      <c r="R782">
        <v>7</v>
      </c>
    </row>
    <row r="783" spans="1:18" x14ac:dyDescent="0.3">
      <c r="A783" t="s">
        <v>1835</v>
      </c>
      <c r="B783" t="s">
        <v>19</v>
      </c>
      <c r="C783" t="s">
        <v>32</v>
      </c>
      <c r="D783" t="s">
        <v>93</v>
      </c>
      <c r="E783" t="s">
        <v>1836</v>
      </c>
      <c r="F783">
        <v>2017</v>
      </c>
      <c r="G783" t="s">
        <v>1837</v>
      </c>
      <c r="H783" t="s">
        <v>24</v>
      </c>
      <c r="I783" t="s">
        <v>85</v>
      </c>
      <c r="J783">
        <v>1.3</v>
      </c>
      <c r="K783">
        <v>22116</v>
      </c>
      <c r="L783" t="s">
        <v>26</v>
      </c>
      <c r="M783" t="s">
        <v>37</v>
      </c>
      <c r="N783" t="s">
        <v>28</v>
      </c>
      <c r="O783" t="s">
        <v>118</v>
      </c>
      <c r="P783" t="s">
        <v>86</v>
      </c>
      <c r="Q783">
        <v>9.6</v>
      </c>
      <c r="R783">
        <v>9</v>
      </c>
    </row>
    <row r="784" spans="1:18" x14ac:dyDescent="0.3">
      <c r="A784" t="s">
        <v>1838</v>
      </c>
      <c r="B784" t="s">
        <v>70</v>
      </c>
      <c r="C784" t="s">
        <v>76</v>
      </c>
      <c r="D784" t="s">
        <v>65</v>
      </c>
      <c r="E784" t="s">
        <v>1839</v>
      </c>
      <c r="F784">
        <v>2022</v>
      </c>
      <c r="G784" t="s">
        <v>560</v>
      </c>
      <c r="H784" t="s">
        <v>24</v>
      </c>
      <c r="I784" t="s">
        <v>61</v>
      </c>
      <c r="J784">
        <v>12.8</v>
      </c>
      <c r="K784">
        <v>7881</v>
      </c>
      <c r="L784" t="s">
        <v>68</v>
      </c>
      <c r="M784" t="s">
        <v>27</v>
      </c>
      <c r="N784" t="s">
        <v>62</v>
      </c>
      <c r="O784" t="s">
        <v>46</v>
      </c>
      <c r="P784" t="s">
        <v>30</v>
      </c>
      <c r="Q784">
        <v>5.3</v>
      </c>
      <c r="R784">
        <v>4</v>
      </c>
    </row>
    <row r="785" spans="1:18" x14ac:dyDescent="0.3">
      <c r="A785" t="s">
        <v>1840</v>
      </c>
      <c r="B785" t="s">
        <v>49</v>
      </c>
      <c r="C785" t="s">
        <v>76</v>
      </c>
      <c r="D785" t="s">
        <v>82</v>
      </c>
      <c r="E785" t="s">
        <v>1841</v>
      </c>
      <c r="F785">
        <v>2016</v>
      </c>
      <c r="G785" t="s">
        <v>435</v>
      </c>
      <c r="H785" t="s">
        <v>35</v>
      </c>
      <c r="I785" t="s">
        <v>44</v>
      </c>
      <c r="J785">
        <v>5.6</v>
      </c>
      <c r="K785">
        <v>11431</v>
      </c>
      <c r="L785" t="s">
        <v>101</v>
      </c>
      <c r="M785" t="s">
        <v>27</v>
      </c>
      <c r="N785" t="s">
        <v>28</v>
      </c>
      <c r="O785" t="s">
        <v>46</v>
      </c>
      <c r="P785" t="s">
        <v>30</v>
      </c>
      <c r="Q785">
        <v>9.6</v>
      </c>
      <c r="R785">
        <v>10</v>
      </c>
    </row>
    <row r="786" spans="1:18" x14ac:dyDescent="0.3">
      <c r="A786" t="s">
        <v>1842</v>
      </c>
      <c r="B786" t="s">
        <v>40</v>
      </c>
      <c r="C786" t="s">
        <v>64</v>
      </c>
      <c r="D786" t="s">
        <v>93</v>
      </c>
      <c r="E786" t="s">
        <v>1843</v>
      </c>
      <c r="F786">
        <v>2017</v>
      </c>
      <c r="G786" t="s">
        <v>305</v>
      </c>
      <c r="H786" t="s">
        <v>35</v>
      </c>
      <c r="I786" t="s">
        <v>25</v>
      </c>
      <c r="J786">
        <v>11.2</v>
      </c>
      <c r="K786">
        <v>35794</v>
      </c>
      <c r="L786" t="s">
        <v>68</v>
      </c>
      <c r="M786" t="s">
        <v>27</v>
      </c>
      <c r="N786" t="s">
        <v>28</v>
      </c>
      <c r="O786" t="s">
        <v>118</v>
      </c>
      <c r="P786" t="s">
        <v>86</v>
      </c>
      <c r="Q786">
        <v>3.9</v>
      </c>
      <c r="R786">
        <v>9</v>
      </c>
    </row>
    <row r="787" spans="1:18" x14ac:dyDescent="0.3">
      <c r="A787" t="s">
        <v>1844</v>
      </c>
      <c r="B787" t="s">
        <v>58</v>
      </c>
      <c r="C787" t="s">
        <v>64</v>
      </c>
      <c r="D787" t="s">
        <v>21</v>
      </c>
      <c r="E787" t="s">
        <v>1845</v>
      </c>
      <c r="F787">
        <v>2020</v>
      </c>
      <c r="G787" t="s">
        <v>540</v>
      </c>
      <c r="H787" t="s">
        <v>96</v>
      </c>
      <c r="I787" t="s">
        <v>100</v>
      </c>
      <c r="J787">
        <v>1.8</v>
      </c>
      <c r="K787">
        <v>11487</v>
      </c>
      <c r="L787" t="s">
        <v>45</v>
      </c>
      <c r="M787" t="s">
        <v>27</v>
      </c>
      <c r="N787" t="s">
        <v>28</v>
      </c>
      <c r="O787" t="s">
        <v>29</v>
      </c>
      <c r="P787" t="s">
        <v>56</v>
      </c>
      <c r="Q787">
        <v>7.8</v>
      </c>
      <c r="R787">
        <v>6</v>
      </c>
    </row>
    <row r="788" spans="1:18" x14ac:dyDescent="0.3">
      <c r="A788" t="s">
        <v>1846</v>
      </c>
      <c r="B788" t="s">
        <v>19</v>
      </c>
      <c r="C788" t="s">
        <v>76</v>
      </c>
      <c r="D788" t="s">
        <v>41</v>
      </c>
      <c r="E788" t="s">
        <v>1847</v>
      </c>
      <c r="F788">
        <v>2018</v>
      </c>
      <c r="G788" t="s">
        <v>177</v>
      </c>
      <c r="H788" t="s">
        <v>24</v>
      </c>
      <c r="I788" t="s">
        <v>61</v>
      </c>
      <c r="J788">
        <v>16.8</v>
      </c>
      <c r="K788">
        <v>12082</v>
      </c>
      <c r="L788" t="s">
        <v>26</v>
      </c>
      <c r="M788" t="s">
        <v>37</v>
      </c>
      <c r="N788" t="s">
        <v>62</v>
      </c>
      <c r="O788" t="s">
        <v>118</v>
      </c>
      <c r="P788" t="s">
        <v>86</v>
      </c>
      <c r="Q788">
        <v>1.3</v>
      </c>
      <c r="R788">
        <v>8</v>
      </c>
    </row>
    <row r="789" spans="1:18" x14ac:dyDescent="0.3">
      <c r="A789" t="s">
        <v>1848</v>
      </c>
      <c r="B789" t="s">
        <v>58</v>
      </c>
      <c r="C789" t="s">
        <v>20</v>
      </c>
      <c r="D789" t="s">
        <v>82</v>
      </c>
      <c r="E789" t="s">
        <v>1849</v>
      </c>
      <c r="F789">
        <v>2016</v>
      </c>
      <c r="G789" t="s">
        <v>376</v>
      </c>
      <c r="H789" t="s">
        <v>96</v>
      </c>
      <c r="I789" t="s">
        <v>85</v>
      </c>
      <c r="J789">
        <v>11.9</v>
      </c>
      <c r="K789">
        <v>10704</v>
      </c>
      <c r="L789" t="s">
        <v>26</v>
      </c>
      <c r="M789" t="s">
        <v>27</v>
      </c>
      <c r="N789" t="s">
        <v>28</v>
      </c>
      <c r="O789" t="s">
        <v>118</v>
      </c>
      <c r="P789" t="s">
        <v>86</v>
      </c>
      <c r="Q789">
        <v>4.3</v>
      </c>
      <c r="R789">
        <v>10</v>
      </c>
    </row>
    <row r="790" spans="1:18" x14ac:dyDescent="0.3">
      <c r="A790" t="s">
        <v>1850</v>
      </c>
      <c r="B790" t="s">
        <v>40</v>
      </c>
      <c r="C790" t="s">
        <v>76</v>
      </c>
      <c r="D790" t="s">
        <v>77</v>
      </c>
      <c r="E790" t="s">
        <v>1851</v>
      </c>
      <c r="F790">
        <v>2023</v>
      </c>
      <c r="G790" t="s">
        <v>670</v>
      </c>
      <c r="H790" t="s">
        <v>35</v>
      </c>
      <c r="I790" t="s">
        <v>100</v>
      </c>
      <c r="J790">
        <v>17.2</v>
      </c>
      <c r="K790">
        <v>25989</v>
      </c>
      <c r="L790" t="s">
        <v>26</v>
      </c>
      <c r="M790" t="s">
        <v>27</v>
      </c>
      <c r="N790" t="s">
        <v>62</v>
      </c>
      <c r="O790" t="s">
        <v>118</v>
      </c>
      <c r="P790" t="s">
        <v>86</v>
      </c>
      <c r="Q790">
        <v>8.8000000000000007</v>
      </c>
      <c r="R790">
        <v>3</v>
      </c>
    </row>
    <row r="791" spans="1:18" x14ac:dyDescent="0.3">
      <c r="A791" t="s">
        <v>1852</v>
      </c>
      <c r="B791" t="s">
        <v>49</v>
      </c>
      <c r="C791" t="s">
        <v>112</v>
      </c>
      <c r="D791" t="s">
        <v>65</v>
      </c>
      <c r="E791" t="s">
        <v>1853</v>
      </c>
      <c r="F791">
        <v>2024</v>
      </c>
      <c r="G791" t="s">
        <v>540</v>
      </c>
      <c r="H791" t="s">
        <v>35</v>
      </c>
      <c r="I791" t="s">
        <v>25</v>
      </c>
      <c r="J791">
        <v>14.9</v>
      </c>
      <c r="K791">
        <v>2020</v>
      </c>
      <c r="L791" t="s">
        <v>73</v>
      </c>
      <c r="M791" t="s">
        <v>80</v>
      </c>
      <c r="N791" t="s">
        <v>55</v>
      </c>
      <c r="O791" t="s">
        <v>118</v>
      </c>
      <c r="P791" t="s">
        <v>56</v>
      </c>
      <c r="Q791">
        <v>5.9</v>
      </c>
      <c r="R791">
        <v>2</v>
      </c>
    </row>
    <row r="792" spans="1:18" x14ac:dyDescent="0.3">
      <c r="A792" t="s">
        <v>1854</v>
      </c>
      <c r="B792" t="s">
        <v>58</v>
      </c>
      <c r="C792" t="s">
        <v>76</v>
      </c>
      <c r="D792" t="s">
        <v>65</v>
      </c>
      <c r="E792" t="s">
        <v>1855</v>
      </c>
      <c r="F792">
        <v>2015</v>
      </c>
      <c r="G792" t="s">
        <v>151</v>
      </c>
      <c r="H792" t="s">
        <v>24</v>
      </c>
      <c r="I792" t="s">
        <v>85</v>
      </c>
      <c r="J792">
        <v>8.6999999999999993</v>
      </c>
      <c r="K792">
        <v>36569</v>
      </c>
      <c r="L792" t="s">
        <v>36</v>
      </c>
      <c r="M792" t="s">
        <v>80</v>
      </c>
      <c r="N792" t="s">
        <v>28</v>
      </c>
      <c r="O792" t="s">
        <v>29</v>
      </c>
      <c r="P792" t="s">
        <v>38</v>
      </c>
      <c r="Q792">
        <v>1.5</v>
      </c>
      <c r="R792">
        <v>11</v>
      </c>
    </row>
    <row r="793" spans="1:18" x14ac:dyDescent="0.3">
      <c r="A793" t="s">
        <v>1856</v>
      </c>
      <c r="B793" t="s">
        <v>58</v>
      </c>
      <c r="C793" t="s">
        <v>64</v>
      </c>
      <c r="D793" t="s">
        <v>82</v>
      </c>
      <c r="E793" t="s">
        <v>1857</v>
      </c>
      <c r="F793">
        <v>2020</v>
      </c>
      <c r="G793" t="s">
        <v>438</v>
      </c>
      <c r="H793" t="s">
        <v>24</v>
      </c>
      <c r="I793" t="s">
        <v>53</v>
      </c>
      <c r="J793">
        <v>6.5</v>
      </c>
      <c r="K793">
        <v>41107</v>
      </c>
      <c r="L793" t="s">
        <v>36</v>
      </c>
      <c r="M793" t="s">
        <v>54</v>
      </c>
      <c r="N793" t="s">
        <v>62</v>
      </c>
      <c r="O793" t="s">
        <v>46</v>
      </c>
      <c r="P793" t="s">
        <v>47</v>
      </c>
      <c r="Q793">
        <v>1.6</v>
      </c>
      <c r="R793">
        <v>6</v>
      </c>
    </row>
    <row r="794" spans="1:18" x14ac:dyDescent="0.3">
      <c r="A794" t="s">
        <v>1858</v>
      </c>
      <c r="B794" t="s">
        <v>49</v>
      </c>
      <c r="C794" t="s">
        <v>64</v>
      </c>
      <c r="D794" t="s">
        <v>82</v>
      </c>
      <c r="E794" t="s">
        <v>1859</v>
      </c>
      <c r="F794">
        <v>2021</v>
      </c>
      <c r="G794" t="s">
        <v>496</v>
      </c>
      <c r="H794" t="s">
        <v>24</v>
      </c>
      <c r="I794" t="s">
        <v>61</v>
      </c>
      <c r="J794">
        <v>6.1</v>
      </c>
      <c r="K794">
        <v>3552</v>
      </c>
      <c r="L794" t="s">
        <v>45</v>
      </c>
      <c r="M794" t="s">
        <v>27</v>
      </c>
      <c r="N794" t="s">
        <v>28</v>
      </c>
      <c r="O794" t="s">
        <v>118</v>
      </c>
      <c r="P794" t="s">
        <v>47</v>
      </c>
      <c r="Q794">
        <v>9.8000000000000007</v>
      </c>
      <c r="R794">
        <v>5</v>
      </c>
    </row>
    <row r="795" spans="1:18" x14ac:dyDescent="0.3">
      <c r="A795" t="s">
        <v>1860</v>
      </c>
      <c r="B795" t="s">
        <v>40</v>
      </c>
      <c r="C795" t="s">
        <v>112</v>
      </c>
      <c r="D795" t="s">
        <v>50</v>
      </c>
      <c r="E795" t="s">
        <v>1861</v>
      </c>
      <c r="F795">
        <v>2017</v>
      </c>
      <c r="G795" t="s">
        <v>475</v>
      </c>
      <c r="H795" t="s">
        <v>35</v>
      </c>
      <c r="I795" t="s">
        <v>53</v>
      </c>
      <c r="J795">
        <v>4.9000000000000004</v>
      </c>
      <c r="K795">
        <v>13041</v>
      </c>
      <c r="L795" t="s">
        <v>26</v>
      </c>
      <c r="M795" t="s">
        <v>54</v>
      </c>
      <c r="N795" t="s">
        <v>28</v>
      </c>
      <c r="O795" t="s">
        <v>118</v>
      </c>
      <c r="P795" t="s">
        <v>47</v>
      </c>
      <c r="Q795">
        <v>1.3</v>
      </c>
      <c r="R795">
        <v>9</v>
      </c>
    </row>
    <row r="796" spans="1:18" x14ac:dyDescent="0.3">
      <c r="A796" t="s">
        <v>1862</v>
      </c>
      <c r="B796" t="s">
        <v>58</v>
      </c>
      <c r="C796" t="s">
        <v>32</v>
      </c>
      <c r="D796" t="s">
        <v>21</v>
      </c>
      <c r="E796" t="s">
        <v>1863</v>
      </c>
      <c r="F796">
        <v>2025</v>
      </c>
      <c r="G796" t="s">
        <v>104</v>
      </c>
      <c r="H796" t="s">
        <v>35</v>
      </c>
      <c r="I796" t="s">
        <v>53</v>
      </c>
      <c r="J796">
        <v>3.7</v>
      </c>
      <c r="K796">
        <v>5022</v>
      </c>
      <c r="L796" t="s">
        <v>26</v>
      </c>
      <c r="M796" t="s">
        <v>27</v>
      </c>
      <c r="N796" t="s">
        <v>55</v>
      </c>
      <c r="O796" t="s">
        <v>118</v>
      </c>
      <c r="P796" t="s">
        <v>56</v>
      </c>
      <c r="Q796">
        <v>2.4</v>
      </c>
      <c r="R796">
        <v>1</v>
      </c>
    </row>
    <row r="797" spans="1:18" x14ac:dyDescent="0.3">
      <c r="A797" t="s">
        <v>1864</v>
      </c>
      <c r="B797" t="s">
        <v>58</v>
      </c>
      <c r="C797" t="s">
        <v>32</v>
      </c>
      <c r="D797" t="s">
        <v>65</v>
      </c>
      <c r="E797" t="s">
        <v>1865</v>
      </c>
      <c r="F797">
        <v>2020</v>
      </c>
      <c r="G797" t="s">
        <v>741</v>
      </c>
      <c r="H797" t="s">
        <v>35</v>
      </c>
      <c r="I797" t="s">
        <v>25</v>
      </c>
      <c r="J797">
        <v>8.1</v>
      </c>
      <c r="K797">
        <v>38876</v>
      </c>
      <c r="L797" t="s">
        <v>36</v>
      </c>
      <c r="M797" t="s">
        <v>80</v>
      </c>
      <c r="N797" t="s">
        <v>62</v>
      </c>
      <c r="O797" t="s">
        <v>46</v>
      </c>
      <c r="P797" t="s">
        <v>56</v>
      </c>
      <c r="Q797">
        <v>1.2</v>
      </c>
      <c r="R797">
        <v>6</v>
      </c>
    </row>
    <row r="798" spans="1:18" x14ac:dyDescent="0.3">
      <c r="A798" t="s">
        <v>1866</v>
      </c>
      <c r="B798" t="s">
        <v>49</v>
      </c>
      <c r="C798" t="s">
        <v>64</v>
      </c>
      <c r="D798" t="s">
        <v>77</v>
      </c>
      <c r="E798" t="s">
        <v>1867</v>
      </c>
      <c r="F798">
        <v>2024</v>
      </c>
      <c r="G798" t="s">
        <v>124</v>
      </c>
      <c r="H798" t="s">
        <v>35</v>
      </c>
      <c r="I798" t="s">
        <v>25</v>
      </c>
      <c r="J798">
        <v>13.5</v>
      </c>
      <c r="K798">
        <v>22243</v>
      </c>
      <c r="L798" t="s">
        <v>26</v>
      </c>
      <c r="M798" t="s">
        <v>54</v>
      </c>
      <c r="N798" t="s">
        <v>55</v>
      </c>
      <c r="O798" t="s">
        <v>29</v>
      </c>
      <c r="P798" t="s">
        <v>47</v>
      </c>
      <c r="Q798">
        <v>8.6999999999999993</v>
      </c>
      <c r="R798">
        <v>2</v>
      </c>
    </row>
    <row r="799" spans="1:18" x14ac:dyDescent="0.3">
      <c r="A799" t="s">
        <v>1868</v>
      </c>
      <c r="B799" t="s">
        <v>58</v>
      </c>
      <c r="C799" t="s">
        <v>20</v>
      </c>
      <c r="D799" t="s">
        <v>93</v>
      </c>
      <c r="E799" t="s">
        <v>1869</v>
      </c>
      <c r="F799">
        <v>2015</v>
      </c>
      <c r="G799" t="s">
        <v>215</v>
      </c>
      <c r="H799" t="s">
        <v>35</v>
      </c>
      <c r="I799" t="s">
        <v>85</v>
      </c>
      <c r="J799">
        <v>17</v>
      </c>
      <c r="K799">
        <v>9739</v>
      </c>
      <c r="L799" t="s">
        <v>101</v>
      </c>
      <c r="M799" t="s">
        <v>27</v>
      </c>
      <c r="N799" t="s">
        <v>62</v>
      </c>
      <c r="O799" t="s">
        <v>46</v>
      </c>
      <c r="P799" t="s">
        <v>30</v>
      </c>
      <c r="Q799">
        <v>0.8</v>
      </c>
      <c r="R799">
        <v>11</v>
      </c>
    </row>
    <row r="800" spans="1:18" x14ac:dyDescent="0.3">
      <c r="A800" t="s">
        <v>1870</v>
      </c>
      <c r="B800" t="s">
        <v>58</v>
      </c>
      <c r="C800" t="s">
        <v>32</v>
      </c>
      <c r="D800" t="s">
        <v>50</v>
      </c>
      <c r="E800" t="s">
        <v>1871</v>
      </c>
      <c r="F800">
        <v>2025</v>
      </c>
      <c r="G800" t="s">
        <v>1268</v>
      </c>
      <c r="H800" t="s">
        <v>24</v>
      </c>
      <c r="I800" t="s">
        <v>85</v>
      </c>
      <c r="J800">
        <v>4.3</v>
      </c>
      <c r="K800">
        <v>15247</v>
      </c>
      <c r="L800" t="s">
        <v>73</v>
      </c>
      <c r="M800" t="s">
        <v>80</v>
      </c>
      <c r="N800" t="s">
        <v>55</v>
      </c>
      <c r="O800" t="s">
        <v>118</v>
      </c>
      <c r="P800" t="s">
        <v>30</v>
      </c>
      <c r="Q800">
        <v>3.4</v>
      </c>
      <c r="R800">
        <v>1</v>
      </c>
    </row>
    <row r="801" spans="1:18" x14ac:dyDescent="0.3">
      <c r="A801" t="s">
        <v>1872</v>
      </c>
      <c r="B801" t="s">
        <v>19</v>
      </c>
      <c r="C801" t="s">
        <v>76</v>
      </c>
      <c r="D801" t="s">
        <v>65</v>
      </c>
      <c r="E801" t="s">
        <v>1873</v>
      </c>
      <c r="F801">
        <v>2018</v>
      </c>
      <c r="G801" t="s">
        <v>1372</v>
      </c>
      <c r="H801" t="s">
        <v>96</v>
      </c>
      <c r="I801" t="s">
        <v>85</v>
      </c>
      <c r="J801">
        <v>7.7</v>
      </c>
      <c r="K801">
        <v>24582</v>
      </c>
      <c r="L801" t="s">
        <v>45</v>
      </c>
      <c r="M801" t="s">
        <v>27</v>
      </c>
      <c r="N801" t="s">
        <v>62</v>
      </c>
      <c r="O801" t="s">
        <v>118</v>
      </c>
      <c r="P801" t="s">
        <v>30</v>
      </c>
      <c r="Q801">
        <v>9.3000000000000007</v>
      </c>
      <c r="R801">
        <v>8</v>
      </c>
    </row>
    <row r="802" spans="1:18" x14ac:dyDescent="0.3">
      <c r="A802" t="s">
        <v>1874</v>
      </c>
      <c r="B802" t="s">
        <v>70</v>
      </c>
      <c r="C802" t="s">
        <v>64</v>
      </c>
      <c r="D802" t="s">
        <v>93</v>
      </c>
      <c r="E802" t="s">
        <v>1875</v>
      </c>
      <c r="F802">
        <v>2021</v>
      </c>
      <c r="G802" t="s">
        <v>79</v>
      </c>
      <c r="H802" t="s">
        <v>35</v>
      </c>
      <c r="I802" t="s">
        <v>100</v>
      </c>
      <c r="J802">
        <v>8.1</v>
      </c>
      <c r="K802">
        <v>20179</v>
      </c>
      <c r="L802" t="s">
        <v>101</v>
      </c>
      <c r="M802" t="s">
        <v>27</v>
      </c>
      <c r="N802" t="s">
        <v>62</v>
      </c>
      <c r="O802" t="s">
        <v>118</v>
      </c>
      <c r="P802" t="s">
        <v>38</v>
      </c>
      <c r="Q802">
        <v>6.4</v>
      </c>
      <c r="R802">
        <v>5</v>
      </c>
    </row>
    <row r="803" spans="1:18" x14ac:dyDescent="0.3">
      <c r="A803" t="s">
        <v>1876</v>
      </c>
      <c r="B803" t="s">
        <v>19</v>
      </c>
      <c r="C803" t="s">
        <v>112</v>
      </c>
      <c r="D803" t="s">
        <v>65</v>
      </c>
      <c r="E803" t="s">
        <v>1877</v>
      </c>
      <c r="F803">
        <v>2015</v>
      </c>
      <c r="G803" t="s">
        <v>1393</v>
      </c>
      <c r="H803" t="s">
        <v>24</v>
      </c>
      <c r="I803" t="s">
        <v>85</v>
      </c>
      <c r="J803">
        <v>2.2999999999999998</v>
      </c>
      <c r="K803">
        <v>42383</v>
      </c>
      <c r="L803" t="s">
        <v>45</v>
      </c>
      <c r="M803" t="s">
        <v>80</v>
      </c>
      <c r="N803" t="s">
        <v>62</v>
      </c>
      <c r="O803" t="s">
        <v>118</v>
      </c>
      <c r="P803" t="s">
        <v>74</v>
      </c>
      <c r="Q803">
        <v>6</v>
      </c>
      <c r="R803">
        <v>11</v>
      </c>
    </row>
    <row r="804" spans="1:18" x14ac:dyDescent="0.3">
      <c r="A804" t="s">
        <v>1878</v>
      </c>
      <c r="B804" t="s">
        <v>70</v>
      </c>
      <c r="C804" t="s">
        <v>76</v>
      </c>
      <c r="D804" t="s">
        <v>21</v>
      </c>
      <c r="E804" t="s">
        <v>1879</v>
      </c>
      <c r="F804">
        <v>2014</v>
      </c>
      <c r="G804" t="s">
        <v>145</v>
      </c>
      <c r="H804" t="s">
        <v>24</v>
      </c>
      <c r="I804" t="s">
        <v>85</v>
      </c>
      <c r="J804">
        <v>10.199999999999999</v>
      </c>
      <c r="K804">
        <v>9003</v>
      </c>
      <c r="L804" t="s">
        <v>73</v>
      </c>
      <c r="M804" t="s">
        <v>27</v>
      </c>
      <c r="N804" t="s">
        <v>28</v>
      </c>
      <c r="O804" t="s">
        <v>118</v>
      </c>
      <c r="P804" t="s">
        <v>47</v>
      </c>
      <c r="Q804">
        <v>4.4000000000000004</v>
      </c>
      <c r="R804">
        <v>12</v>
      </c>
    </row>
    <row r="805" spans="1:18" x14ac:dyDescent="0.3">
      <c r="A805" t="s">
        <v>1880</v>
      </c>
      <c r="B805" t="s">
        <v>58</v>
      </c>
      <c r="C805" t="s">
        <v>112</v>
      </c>
      <c r="D805" t="s">
        <v>77</v>
      </c>
      <c r="E805" t="s">
        <v>1881</v>
      </c>
      <c r="F805">
        <v>2024</v>
      </c>
      <c r="G805" t="s">
        <v>635</v>
      </c>
      <c r="H805" t="s">
        <v>35</v>
      </c>
      <c r="I805" t="s">
        <v>100</v>
      </c>
      <c r="J805">
        <v>5.5</v>
      </c>
      <c r="K805">
        <v>44667</v>
      </c>
      <c r="L805" t="s">
        <v>68</v>
      </c>
      <c r="M805" t="s">
        <v>37</v>
      </c>
      <c r="N805" t="s">
        <v>55</v>
      </c>
      <c r="O805" t="s">
        <v>46</v>
      </c>
      <c r="P805" t="s">
        <v>56</v>
      </c>
      <c r="Q805">
        <v>0.5</v>
      </c>
      <c r="R805">
        <v>2</v>
      </c>
    </row>
    <row r="806" spans="1:18" x14ac:dyDescent="0.3">
      <c r="A806" t="s">
        <v>1882</v>
      </c>
      <c r="B806" t="s">
        <v>19</v>
      </c>
      <c r="C806" t="s">
        <v>112</v>
      </c>
      <c r="D806" t="s">
        <v>21</v>
      </c>
      <c r="E806" t="s">
        <v>1883</v>
      </c>
      <c r="F806">
        <v>2020</v>
      </c>
      <c r="G806" t="s">
        <v>290</v>
      </c>
      <c r="H806" t="s">
        <v>35</v>
      </c>
      <c r="I806" t="s">
        <v>100</v>
      </c>
      <c r="J806">
        <v>14.9</v>
      </c>
      <c r="K806">
        <v>40818</v>
      </c>
      <c r="L806" t="s">
        <v>68</v>
      </c>
      <c r="M806" t="s">
        <v>37</v>
      </c>
      <c r="N806" t="s">
        <v>28</v>
      </c>
      <c r="O806" t="s">
        <v>46</v>
      </c>
      <c r="P806" t="s">
        <v>47</v>
      </c>
      <c r="Q806">
        <v>2.8</v>
      </c>
      <c r="R806">
        <v>6</v>
      </c>
    </row>
    <row r="807" spans="1:18" x14ac:dyDescent="0.3">
      <c r="A807" t="s">
        <v>1884</v>
      </c>
      <c r="B807" t="s">
        <v>49</v>
      </c>
      <c r="C807" t="s">
        <v>76</v>
      </c>
      <c r="D807" t="s">
        <v>50</v>
      </c>
      <c r="E807" t="s">
        <v>1885</v>
      </c>
      <c r="F807">
        <v>2020</v>
      </c>
      <c r="G807" t="s">
        <v>560</v>
      </c>
      <c r="H807" t="s">
        <v>24</v>
      </c>
      <c r="I807" t="s">
        <v>100</v>
      </c>
      <c r="J807">
        <v>8</v>
      </c>
      <c r="K807">
        <v>43198</v>
      </c>
      <c r="L807" t="s">
        <v>36</v>
      </c>
      <c r="M807" t="s">
        <v>54</v>
      </c>
      <c r="N807" t="s">
        <v>55</v>
      </c>
      <c r="O807" t="s">
        <v>118</v>
      </c>
      <c r="P807" t="s">
        <v>74</v>
      </c>
      <c r="Q807">
        <v>2</v>
      </c>
      <c r="R807">
        <v>6</v>
      </c>
    </row>
    <row r="808" spans="1:18" x14ac:dyDescent="0.3">
      <c r="A808" t="s">
        <v>1886</v>
      </c>
      <c r="B808" t="s">
        <v>40</v>
      </c>
      <c r="C808" t="s">
        <v>32</v>
      </c>
      <c r="D808" t="s">
        <v>41</v>
      </c>
      <c r="E808" t="s">
        <v>1887</v>
      </c>
      <c r="F808">
        <v>2017</v>
      </c>
      <c r="G808" t="s">
        <v>117</v>
      </c>
      <c r="H808" t="s">
        <v>35</v>
      </c>
      <c r="I808" t="s">
        <v>85</v>
      </c>
      <c r="J808">
        <v>15.3</v>
      </c>
      <c r="K808">
        <v>42611</v>
      </c>
      <c r="L808" t="s">
        <v>68</v>
      </c>
      <c r="M808" t="s">
        <v>54</v>
      </c>
      <c r="N808" t="s">
        <v>55</v>
      </c>
      <c r="O808" t="s">
        <v>29</v>
      </c>
      <c r="P808" t="s">
        <v>30</v>
      </c>
      <c r="Q808">
        <v>1.4</v>
      </c>
      <c r="R808">
        <v>9</v>
      </c>
    </row>
    <row r="809" spans="1:18" x14ac:dyDescent="0.3">
      <c r="A809" t="s">
        <v>1888</v>
      </c>
      <c r="B809" t="s">
        <v>49</v>
      </c>
      <c r="C809" t="s">
        <v>64</v>
      </c>
      <c r="D809" t="s">
        <v>41</v>
      </c>
      <c r="E809" t="s">
        <v>1889</v>
      </c>
      <c r="F809">
        <v>2020</v>
      </c>
      <c r="G809" t="s">
        <v>507</v>
      </c>
      <c r="H809" t="s">
        <v>35</v>
      </c>
      <c r="I809" t="s">
        <v>100</v>
      </c>
      <c r="J809">
        <v>16.600000000000001</v>
      </c>
      <c r="K809">
        <v>6662</v>
      </c>
      <c r="L809" t="s">
        <v>45</v>
      </c>
      <c r="M809" t="s">
        <v>27</v>
      </c>
      <c r="N809" t="s">
        <v>28</v>
      </c>
      <c r="O809" t="s">
        <v>46</v>
      </c>
      <c r="P809" t="s">
        <v>38</v>
      </c>
      <c r="Q809">
        <v>1.7</v>
      </c>
      <c r="R809">
        <v>6</v>
      </c>
    </row>
    <row r="810" spans="1:18" x14ac:dyDescent="0.3">
      <c r="A810" t="s">
        <v>1890</v>
      </c>
      <c r="B810" t="s">
        <v>70</v>
      </c>
      <c r="C810" t="s">
        <v>64</v>
      </c>
      <c r="D810" t="s">
        <v>21</v>
      </c>
      <c r="E810" t="s">
        <v>1891</v>
      </c>
      <c r="F810">
        <v>2021</v>
      </c>
      <c r="G810" t="s">
        <v>287</v>
      </c>
      <c r="H810" t="s">
        <v>35</v>
      </c>
      <c r="I810" t="s">
        <v>61</v>
      </c>
      <c r="J810">
        <v>5.7</v>
      </c>
      <c r="K810">
        <v>36589</v>
      </c>
      <c r="L810" t="s">
        <v>73</v>
      </c>
      <c r="M810" t="s">
        <v>27</v>
      </c>
      <c r="N810" t="s">
        <v>55</v>
      </c>
      <c r="O810" t="s">
        <v>46</v>
      </c>
      <c r="P810" t="s">
        <v>30</v>
      </c>
      <c r="Q810">
        <v>3.1</v>
      </c>
      <c r="R810">
        <v>5</v>
      </c>
    </row>
    <row r="811" spans="1:18" x14ac:dyDescent="0.3">
      <c r="A811" t="s">
        <v>1892</v>
      </c>
      <c r="B811" t="s">
        <v>19</v>
      </c>
      <c r="C811" t="s">
        <v>32</v>
      </c>
      <c r="D811" t="s">
        <v>50</v>
      </c>
      <c r="E811" t="s">
        <v>1893</v>
      </c>
      <c r="F811">
        <v>2016</v>
      </c>
      <c r="G811" t="s">
        <v>201</v>
      </c>
      <c r="H811" t="s">
        <v>24</v>
      </c>
      <c r="I811" t="s">
        <v>85</v>
      </c>
      <c r="J811">
        <v>16.7</v>
      </c>
      <c r="K811">
        <v>9540</v>
      </c>
      <c r="L811" t="s">
        <v>26</v>
      </c>
      <c r="M811" t="s">
        <v>54</v>
      </c>
      <c r="N811" t="s">
        <v>55</v>
      </c>
      <c r="O811" t="s">
        <v>118</v>
      </c>
      <c r="P811" t="s">
        <v>56</v>
      </c>
      <c r="Q811">
        <v>1.4</v>
      </c>
      <c r="R811">
        <v>10</v>
      </c>
    </row>
    <row r="812" spans="1:18" x14ac:dyDescent="0.3">
      <c r="A812" t="s">
        <v>1894</v>
      </c>
      <c r="B812" t="s">
        <v>40</v>
      </c>
      <c r="C812" t="s">
        <v>76</v>
      </c>
      <c r="D812" t="s">
        <v>41</v>
      </c>
      <c r="E812" t="s">
        <v>1895</v>
      </c>
      <c r="F812">
        <v>2021</v>
      </c>
      <c r="G812" t="s">
        <v>1069</v>
      </c>
      <c r="H812" t="s">
        <v>24</v>
      </c>
      <c r="I812" t="s">
        <v>44</v>
      </c>
      <c r="J812">
        <v>7.7</v>
      </c>
      <c r="K812">
        <v>33384</v>
      </c>
      <c r="L812" t="s">
        <v>101</v>
      </c>
      <c r="M812" t="s">
        <v>80</v>
      </c>
      <c r="N812" t="s">
        <v>28</v>
      </c>
      <c r="O812" t="s">
        <v>46</v>
      </c>
      <c r="P812" t="s">
        <v>47</v>
      </c>
      <c r="Q812">
        <v>4.0999999999999996</v>
      </c>
      <c r="R812">
        <v>5</v>
      </c>
    </row>
    <row r="813" spans="1:18" x14ac:dyDescent="0.3">
      <c r="A813" t="s">
        <v>1896</v>
      </c>
      <c r="B813" t="s">
        <v>58</v>
      </c>
      <c r="C813" t="s">
        <v>64</v>
      </c>
      <c r="D813" t="s">
        <v>21</v>
      </c>
      <c r="E813" t="s">
        <v>1897</v>
      </c>
      <c r="F813">
        <v>2019</v>
      </c>
      <c r="G813" t="s">
        <v>287</v>
      </c>
      <c r="H813" t="s">
        <v>24</v>
      </c>
      <c r="I813" t="s">
        <v>61</v>
      </c>
      <c r="J813">
        <v>12</v>
      </c>
      <c r="K813">
        <v>42867</v>
      </c>
      <c r="L813" t="s">
        <v>45</v>
      </c>
      <c r="M813" t="s">
        <v>80</v>
      </c>
      <c r="N813" t="s">
        <v>28</v>
      </c>
      <c r="O813" t="s">
        <v>118</v>
      </c>
      <c r="P813" t="s">
        <v>86</v>
      </c>
      <c r="Q813">
        <v>5.0999999999999996</v>
      </c>
      <c r="R813">
        <v>7</v>
      </c>
    </row>
    <row r="814" spans="1:18" x14ac:dyDescent="0.3">
      <c r="A814" t="s">
        <v>1898</v>
      </c>
      <c r="B814" t="s">
        <v>49</v>
      </c>
      <c r="C814" t="s">
        <v>112</v>
      </c>
      <c r="D814" t="s">
        <v>21</v>
      </c>
      <c r="E814" t="s">
        <v>1899</v>
      </c>
      <c r="F814">
        <v>2023</v>
      </c>
      <c r="G814" t="s">
        <v>331</v>
      </c>
      <c r="H814" t="s">
        <v>35</v>
      </c>
      <c r="I814" t="s">
        <v>53</v>
      </c>
      <c r="J814">
        <v>16.7</v>
      </c>
      <c r="K814">
        <v>14138</v>
      </c>
      <c r="L814" t="s">
        <v>45</v>
      </c>
      <c r="M814" t="s">
        <v>80</v>
      </c>
      <c r="N814" t="s">
        <v>62</v>
      </c>
      <c r="O814" t="s">
        <v>29</v>
      </c>
      <c r="P814" t="s">
        <v>74</v>
      </c>
      <c r="Q814">
        <v>5.4</v>
      </c>
      <c r="R814">
        <v>3</v>
      </c>
    </row>
    <row r="815" spans="1:18" x14ac:dyDescent="0.3">
      <c r="A815" t="s">
        <v>1900</v>
      </c>
      <c r="B815" t="s">
        <v>70</v>
      </c>
      <c r="C815" t="s">
        <v>112</v>
      </c>
      <c r="D815" t="s">
        <v>21</v>
      </c>
      <c r="E815" t="s">
        <v>1901</v>
      </c>
      <c r="F815">
        <v>2016</v>
      </c>
      <c r="G815" t="s">
        <v>305</v>
      </c>
      <c r="H815" t="s">
        <v>24</v>
      </c>
      <c r="I815" t="s">
        <v>61</v>
      </c>
      <c r="J815">
        <v>4.3</v>
      </c>
      <c r="K815">
        <v>9795</v>
      </c>
      <c r="L815" t="s">
        <v>68</v>
      </c>
      <c r="M815" t="s">
        <v>37</v>
      </c>
      <c r="N815" t="s">
        <v>55</v>
      </c>
      <c r="O815" t="s">
        <v>29</v>
      </c>
      <c r="P815" t="s">
        <v>30</v>
      </c>
      <c r="Q815">
        <v>3.8</v>
      </c>
      <c r="R815">
        <v>10</v>
      </c>
    </row>
    <row r="816" spans="1:18" x14ac:dyDescent="0.3">
      <c r="A816" t="s">
        <v>1902</v>
      </c>
      <c r="B816" t="s">
        <v>70</v>
      </c>
      <c r="C816" t="s">
        <v>76</v>
      </c>
      <c r="D816" t="s">
        <v>65</v>
      </c>
      <c r="E816" t="s">
        <v>1903</v>
      </c>
      <c r="F816">
        <v>2022</v>
      </c>
      <c r="G816" t="s">
        <v>206</v>
      </c>
      <c r="H816" t="s">
        <v>35</v>
      </c>
      <c r="I816" t="s">
        <v>85</v>
      </c>
      <c r="J816">
        <v>9.5</v>
      </c>
      <c r="K816">
        <v>27710</v>
      </c>
      <c r="L816" t="s">
        <v>73</v>
      </c>
      <c r="M816" t="s">
        <v>37</v>
      </c>
      <c r="N816" t="s">
        <v>28</v>
      </c>
      <c r="O816" t="s">
        <v>29</v>
      </c>
      <c r="P816" t="s">
        <v>38</v>
      </c>
      <c r="Q816">
        <v>8.5</v>
      </c>
      <c r="R816">
        <v>4</v>
      </c>
    </row>
    <row r="817" spans="1:18" x14ac:dyDescent="0.3">
      <c r="A817" t="s">
        <v>1904</v>
      </c>
      <c r="B817" t="s">
        <v>58</v>
      </c>
      <c r="C817" t="s">
        <v>112</v>
      </c>
      <c r="D817" t="s">
        <v>93</v>
      </c>
      <c r="E817" t="s">
        <v>1905</v>
      </c>
      <c r="F817">
        <v>2025</v>
      </c>
      <c r="G817" t="s">
        <v>60</v>
      </c>
      <c r="H817" t="s">
        <v>35</v>
      </c>
      <c r="I817" t="s">
        <v>100</v>
      </c>
      <c r="J817">
        <v>6</v>
      </c>
      <c r="K817">
        <v>14989</v>
      </c>
      <c r="L817" t="s">
        <v>101</v>
      </c>
      <c r="M817" t="s">
        <v>27</v>
      </c>
      <c r="N817" t="s">
        <v>55</v>
      </c>
      <c r="O817" t="s">
        <v>118</v>
      </c>
      <c r="P817" t="s">
        <v>47</v>
      </c>
      <c r="Q817">
        <v>6.2</v>
      </c>
      <c r="R817">
        <v>1</v>
      </c>
    </row>
    <row r="818" spans="1:18" x14ac:dyDescent="0.3">
      <c r="A818" t="s">
        <v>1906</v>
      </c>
      <c r="B818" t="s">
        <v>70</v>
      </c>
      <c r="C818" t="s">
        <v>32</v>
      </c>
      <c r="D818" t="s">
        <v>41</v>
      </c>
      <c r="E818" t="s">
        <v>1907</v>
      </c>
      <c r="F818">
        <v>2018</v>
      </c>
      <c r="G818" t="s">
        <v>250</v>
      </c>
      <c r="H818" t="s">
        <v>35</v>
      </c>
      <c r="I818" t="s">
        <v>85</v>
      </c>
      <c r="J818">
        <v>4</v>
      </c>
      <c r="K818">
        <v>24628</v>
      </c>
      <c r="L818" t="s">
        <v>68</v>
      </c>
      <c r="M818" t="s">
        <v>80</v>
      </c>
      <c r="N818" t="s">
        <v>55</v>
      </c>
      <c r="O818" t="s">
        <v>29</v>
      </c>
      <c r="P818" t="s">
        <v>30</v>
      </c>
      <c r="Q818">
        <v>9.6</v>
      </c>
      <c r="R818">
        <v>8</v>
      </c>
    </row>
    <row r="819" spans="1:18" x14ac:dyDescent="0.3">
      <c r="A819" t="s">
        <v>1908</v>
      </c>
      <c r="B819" t="s">
        <v>58</v>
      </c>
      <c r="C819" t="s">
        <v>20</v>
      </c>
      <c r="D819" t="s">
        <v>93</v>
      </c>
      <c r="E819" t="s">
        <v>1909</v>
      </c>
      <c r="F819">
        <v>2018</v>
      </c>
      <c r="G819" t="s">
        <v>230</v>
      </c>
      <c r="H819" t="s">
        <v>35</v>
      </c>
      <c r="I819" t="s">
        <v>25</v>
      </c>
      <c r="J819">
        <v>17.100000000000001</v>
      </c>
      <c r="K819">
        <v>36266</v>
      </c>
      <c r="L819" t="s">
        <v>68</v>
      </c>
      <c r="M819" t="s">
        <v>27</v>
      </c>
      <c r="N819" t="s">
        <v>28</v>
      </c>
      <c r="O819" t="s">
        <v>29</v>
      </c>
      <c r="P819" t="s">
        <v>56</v>
      </c>
      <c r="Q819">
        <v>8.1999999999999993</v>
      </c>
      <c r="R819">
        <v>8</v>
      </c>
    </row>
    <row r="820" spans="1:18" x14ac:dyDescent="0.3">
      <c r="A820" t="s">
        <v>1910</v>
      </c>
      <c r="B820" t="s">
        <v>40</v>
      </c>
      <c r="C820" t="s">
        <v>20</v>
      </c>
      <c r="D820" t="s">
        <v>21</v>
      </c>
      <c r="E820" t="s">
        <v>1911</v>
      </c>
      <c r="F820">
        <v>2020</v>
      </c>
      <c r="G820" t="s">
        <v>215</v>
      </c>
      <c r="H820" t="s">
        <v>24</v>
      </c>
      <c r="I820" t="s">
        <v>25</v>
      </c>
      <c r="J820">
        <v>7</v>
      </c>
      <c r="K820">
        <v>11005</v>
      </c>
      <c r="L820" t="s">
        <v>68</v>
      </c>
      <c r="M820" t="s">
        <v>80</v>
      </c>
      <c r="N820" t="s">
        <v>28</v>
      </c>
      <c r="O820" t="s">
        <v>118</v>
      </c>
      <c r="P820" t="s">
        <v>38</v>
      </c>
      <c r="Q820">
        <v>0.6</v>
      </c>
      <c r="R820">
        <v>6</v>
      </c>
    </row>
    <row r="821" spans="1:18" x14ac:dyDescent="0.3">
      <c r="A821" t="s">
        <v>1912</v>
      </c>
      <c r="B821" t="s">
        <v>58</v>
      </c>
      <c r="C821" t="s">
        <v>32</v>
      </c>
      <c r="D821" t="s">
        <v>50</v>
      </c>
      <c r="E821" t="s">
        <v>1913</v>
      </c>
      <c r="F821">
        <v>2019</v>
      </c>
      <c r="G821" t="s">
        <v>379</v>
      </c>
      <c r="H821" t="s">
        <v>24</v>
      </c>
      <c r="I821" t="s">
        <v>61</v>
      </c>
      <c r="J821">
        <v>10.3</v>
      </c>
      <c r="K821">
        <v>26770</v>
      </c>
      <c r="L821" t="s">
        <v>68</v>
      </c>
      <c r="M821" t="s">
        <v>54</v>
      </c>
      <c r="N821" t="s">
        <v>62</v>
      </c>
      <c r="O821" t="s">
        <v>29</v>
      </c>
      <c r="P821" t="s">
        <v>30</v>
      </c>
      <c r="Q821">
        <v>5.8</v>
      </c>
      <c r="R821">
        <v>7</v>
      </c>
    </row>
    <row r="822" spans="1:18" x14ac:dyDescent="0.3">
      <c r="A822" t="s">
        <v>1914</v>
      </c>
      <c r="B822" t="s">
        <v>19</v>
      </c>
      <c r="C822" t="s">
        <v>32</v>
      </c>
      <c r="D822" t="s">
        <v>65</v>
      </c>
      <c r="E822" t="s">
        <v>1915</v>
      </c>
      <c r="F822">
        <v>2025</v>
      </c>
      <c r="G822" t="s">
        <v>900</v>
      </c>
      <c r="H822" t="s">
        <v>24</v>
      </c>
      <c r="I822" t="s">
        <v>85</v>
      </c>
      <c r="J822">
        <v>6.1</v>
      </c>
      <c r="K822">
        <v>22479</v>
      </c>
      <c r="L822" t="s">
        <v>73</v>
      </c>
      <c r="M822" t="s">
        <v>54</v>
      </c>
      <c r="N822" t="s">
        <v>28</v>
      </c>
      <c r="O822" t="s">
        <v>118</v>
      </c>
      <c r="P822" t="s">
        <v>47</v>
      </c>
      <c r="Q822">
        <v>0.9</v>
      </c>
      <c r="R822">
        <v>1</v>
      </c>
    </row>
    <row r="823" spans="1:18" x14ac:dyDescent="0.3">
      <c r="A823" t="s">
        <v>1916</v>
      </c>
      <c r="B823" t="s">
        <v>19</v>
      </c>
      <c r="C823" t="s">
        <v>112</v>
      </c>
      <c r="D823" t="s">
        <v>82</v>
      </c>
      <c r="E823" t="s">
        <v>1917</v>
      </c>
      <c r="F823">
        <v>2018</v>
      </c>
      <c r="G823" t="s">
        <v>973</v>
      </c>
      <c r="H823" t="s">
        <v>24</v>
      </c>
      <c r="I823" t="s">
        <v>53</v>
      </c>
      <c r="J823">
        <v>10.8</v>
      </c>
      <c r="K823">
        <v>16994</v>
      </c>
      <c r="L823" t="s">
        <v>45</v>
      </c>
      <c r="M823" t="s">
        <v>80</v>
      </c>
      <c r="N823" t="s">
        <v>55</v>
      </c>
      <c r="O823" t="s">
        <v>29</v>
      </c>
      <c r="P823" t="s">
        <v>38</v>
      </c>
      <c r="Q823">
        <v>7.9</v>
      </c>
      <c r="R823">
        <v>8</v>
      </c>
    </row>
    <row r="824" spans="1:18" x14ac:dyDescent="0.3">
      <c r="A824" t="s">
        <v>1918</v>
      </c>
      <c r="B824" t="s">
        <v>58</v>
      </c>
      <c r="C824" t="s">
        <v>20</v>
      </c>
      <c r="D824" t="s">
        <v>21</v>
      </c>
      <c r="E824" t="s">
        <v>1919</v>
      </c>
      <c r="F824">
        <v>2023</v>
      </c>
      <c r="G824" t="s">
        <v>1135</v>
      </c>
      <c r="H824" t="s">
        <v>35</v>
      </c>
      <c r="I824" t="s">
        <v>85</v>
      </c>
      <c r="J824">
        <v>1.1000000000000001</v>
      </c>
      <c r="K824">
        <v>36461</v>
      </c>
      <c r="L824" t="s">
        <v>45</v>
      </c>
      <c r="M824" t="s">
        <v>80</v>
      </c>
      <c r="N824" t="s">
        <v>55</v>
      </c>
      <c r="O824" t="s">
        <v>46</v>
      </c>
      <c r="P824" t="s">
        <v>30</v>
      </c>
      <c r="Q824">
        <v>1.2</v>
      </c>
      <c r="R824">
        <v>3</v>
      </c>
    </row>
    <row r="825" spans="1:18" x14ac:dyDescent="0.3">
      <c r="A825" t="s">
        <v>1920</v>
      </c>
      <c r="B825" t="s">
        <v>58</v>
      </c>
      <c r="C825" t="s">
        <v>20</v>
      </c>
      <c r="D825" t="s">
        <v>77</v>
      </c>
      <c r="E825" t="s">
        <v>1921</v>
      </c>
      <c r="F825">
        <v>2015</v>
      </c>
      <c r="G825" t="s">
        <v>295</v>
      </c>
      <c r="H825" t="s">
        <v>24</v>
      </c>
      <c r="I825" t="s">
        <v>53</v>
      </c>
      <c r="J825">
        <v>7.5</v>
      </c>
      <c r="K825">
        <v>37967</v>
      </c>
      <c r="L825" t="s">
        <v>68</v>
      </c>
      <c r="M825" t="s">
        <v>27</v>
      </c>
      <c r="N825" t="s">
        <v>62</v>
      </c>
      <c r="O825" t="s">
        <v>29</v>
      </c>
      <c r="P825" t="s">
        <v>47</v>
      </c>
      <c r="Q825">
        <v>3.3</v>
      </c>
      <c r="R825">
        <v>11</v>
      </c>
    </row>
    <row r="826" spans="1:18" x14ac:dyDescent="0.3">
      <c r="A826" t="s">
        <v>1922</v>
      </c>
      <c r="B826" t="s">
        <v>19</v>
      </c>
      <c r="C826" t="s">
        <v>20</v>
      </c>
      <c r="D826" t="s">
        <v>93</v>
      </c>
      <c r="E826" t="s">
        <v>1923</v>
      </c>
      <c r="F826">
        <v>2021</v>
      </c>
      <c r="G826" t="s">
        <v>171</v>
      </c>
      <c r="H826" t="s">
        <v>24</v>
      </c>
      <c r="I826" t="s">
        <v>61</v>
      </c>
      <c r="J826">
        <v>1.3</v>
      </c>
      <c r="K826">
        <v>2181</v>
      </c>
      <c r="L826" t="s">
        <v>73</v>
      </c>
      <c r="M826" t="s">
        <v>80</v>
      </c>
      <c r="N826" t="s">
        <v>55</v>
      </c>
      <c r="O826" t="s">
        <v>46</v>
      </c>
      <c r="P826" t="s">
        <v>38</v>
      </c>
      <c r="Q826">
        <v>4.5999999999999996</v>
      </c>
      <c r="R826">
        <v>5</v>
      </c>
    </row>
    <row r="827" spans="1:18" x14ac:dyDescent="0.3">
      <c r="A827" t="s">
        <v>1924</v>
      </c>
      <c r="B827" t="s">
        <v>40</v>
      </c>
      <c r="C827" t="s">
        <v>20</v>
      </c>
      <c r="D827" t="s">
        <v>50</v>
      </c>
      <c r="E827" t="s">
        <v>1925</v>
      </c>
      <c r="F827">
        <v>2016</v>
      </c>
      <c r="G827" t="s">
        <v>1393</v>
      </c>
      <c r="H827" t="s">
        <v>96</v>
      </c>
      <c r="I827" t="s">
        <v>44</v>
      </c>
      <c r="J827">
        <v>16.8</v>
      </c>
      <c r="K827">
        <v>4940</v>
      </c>
      <c r="L827" t="s">
        <v>68</v>
      </c>
      <c r="M827" t="s">
        <v>80</v>
      </c>
      <c r="N827" t="s">
        <v>28</v>
      </c>
      <c r="O827" t="s">
        <v>29</v>
      </c>
      <c r="P827" t="s">
        <v>86</v>
      </c>
      <c r="Q827">
        <v>1.2</v>
      </c>
      <c r="R827">
        <v>10</v>
      </c>
    </row>
    <row r="828" spans="1:18" x14ac:dyDescent="0.3">
      <c r="A828" t="s">
        <v>1926</v>
      </c>
      <c r="B828" t="s">
        <v>49</v>
      </c>
      <c r="C828" t="s">
        <v>76</v>
      </c>
      <c r="D828" t="s">
        <v>77</v>
      </c>
      <c r="E828" t="s">
        <v>1927</v>
      </c>
      <c r="F828">
        <v>2019</v>
      </c>
      <c r="G828" t="s">
        <v>729</v>
      </c>
      <c r="H828" t="s">
        <v>35</v>
      </c>
      <c r="I828" t="s">
        <v>61</v>
      </c>
      <c r="J828">
        <v>10.7</v>
      </c>
      <c r="K828">
        <v>9357</v>
      </c>
      <c r="L828" t="s">
        <v>73</v>
      </c>
      <c r="M828" t="s">
        <v>37</v>
      </c>
      <c r="N828" t="s">
        <v>28</v>
      </c>
      <c r="O828" t="s">
        <v>46</v>
      </c>
      <c r="P828" t="s">
        <v>47</v>
      </c>
      <c r="Q828">
        <v>6.6</v>
      </c>
      <c r="R828">
        <v>7</v>
      </c>
    </row>
    <row r="829" spans="1:18" x14ac:dyDescent="0.3">
      <c r="A829" t="s">
        <v>1928</v>
      </c>
      <c r="B829" t="s">
        <v>49</v>
      </c>
      <c r="C829" t="s">
        <v>32</v>
      </c>
      <c r="D829" t="s">
        <v>21</v>
      </c>
      <c r="E829" t="s">
        <v>1929</v>
      </c>
      <c r="F829">
        <v>2024</v>
      </c>
      <c r="G829" t="s">
        <v>159</v>
      </c>
      <c r="H829" t="s">
        <v>35</v>
      </c>
      <c r="I829" t="s">
        <v>25</v>
      </c>
      <c r="J829">
        <v>9.1</v>
      </c>
      <c r="K829">
        <v>19885</v>
      </c>
      <c r="L829" t="s">
        <v>68</v>
      </c>
      <c r="M829" t="s">
        <v>27</v>
      </c>
      <c r="N829" t="s">
        <v>28</v>
      </c>
      <c r="O829" t="s">
        <v>29</v>
      </c>
      <c r="P829" t="s">
        <v>86</v>
      </c>
      <c r="Q829">
        <v>7.8</v>
      </c>
      <c r="R829">
        <v>2</v>
      </c>
    </row>
    <row r="830" spans="1:18" x14ac:dyDescent="0.3">
      <c r="A830" t="s">
        <v>1930</v>
      </c>
      <c r="B830" t="s">
        <v>70</v>
      </c>
      <c r="C830" t="s">
        <v>32</v>
      </c>
      <c r="D830" t="s">
        <v>50</v>
      </c>
      <c r="E830" t="s">
        <v>1931</v>
      </c>
      <c r="F830">
        <v>2025</v>
      </c>
      <c r="G830" t="s">
        <v>604</v>
      </c>
      <c r="H830" t="s">
        <v>96</v>
      </c>
      <c r="I830" t="s">
        <v>25</v>
      </c>
      <c r="J830">
        <v>11.8</v>
      </c>
      <c r="K830">
        <v>14993</v>
      </c>
      <c r="L830" t="s">
        <v>101</v>
      </c>
      <c r="M830" t="s">
        <v>80</v>
      </c>
      <c r="N830" t="s">
        <v>28</v>
      </c>
      <c r="O830" t="s">
        <v>118</v>
      </c>
      <c r="P830" t="s">
        <v>30</v>
      </c>
      <c r="Q830">
        <v>2.5</v>
      </c>
      <c r="R830">
        <v>1</v>
      </c>
    </row>
    <row r="831" spans="1:18" x14ac:dyDescent="0.3">
      <c r="A831" t="s">
        <v>1932</v>
      </c>
      <c r="B831" t="s">
        <v>58</v>
      </c>
      <c r="C831" t="s">
        <v>76</v>
      </c>
      <c r="D831" t="s">
        <v>21</v>
      </c>
      <c r="E831" t="s">
        <v>1933</v>
      </c>
      <c r="F831">
        <v>2024</v>
      </c>
      <c r="G831" t="s">
        <v>305</v>
      </c>
      <c r="H831" t="s">
        <v>24</v>
      </c>
      <c r="I831" t="s">
        <v>53</v>
      </c>
      <c r="J831">
        <v>4.2</v>
      </c>
      <c r="K831">
        <v>40200</v>
      </c>
      <c r="L831" t="s">
        <v>45</v>
      </c>
      <c r="M831" t="s">
        <v>37</v>
      </c>
      <c r="N831" t="s">
        <v>55</v>
      </c>
      <c r="O831" t="s">
        <v>46</v>
      </c>
      <c r="P831" t="s">
        <v>47</v>
      </c>
      <c r="Q831">
        <v>6.7</v>
      </c>
      <c r="R831">
        <v>2</v>
      </c>
    </row>
    <row r="832" spans="1:18" x14ac:dyDescent="0.3">
      <c r="A832" t="s">
        <v>1934</v>
      </c>
      <c r="B832" t="s">
        <v>40</v>
      </c>
      <c r="C832" t="s">
        <v>64</v>
      </c>
      <c r="D832" t="s">
        <v>77</v>
      </c>
      <c r="E832" t="s">
        <v>1935</v>
      </c>
      <c r="F832">
        <v>2022</v>
      </c>
      <c r="G832" t="s">
        <v>763</v>
      </c>
      <c r="H832" t="s">
        <v>24</v>
      </c>
      <c r="I832" t="s">
        <v>85</v>
      </c>
      <c r="J832">
        <v>15.7</v>
      </c>
      <c r="K832">
        <v>35150</v>
      </c>
      <c r="L832" t="s">
        <v>73</v>
      </c>
      <c r="M832" t="s">
        <v>27</v>
      </c>
      <c r="N832" t="s">
        <v>28</v>
      </c>
      <c r="O832" t="s">
        <v>29</v>
      </c>
      <c r="P832" t="s">
        <v>86</v>
      </c>
      <c r="Q832">
        <v>4.5</v>
      </c>
      <c r="R832">
        <v>4</v>
      </c>
    </row>
    <row r="833" spans="1:18" x14ac:dyDescent="0.3">
      <c r="A833" t="s">
        <v>1936</v>
      </c>
      <c r="B833" t="s">
        <v>49</v>
      </c>
      <c r="C833" t="s">
        <v>112</v>
      </c>
      <c r="D833" t="s">
        <v>21</v>
      </c>
      <c r="E833" t="s">
        <v>1937</v>
      </c>
      <c r="F833">
        <v>2024</v>
      </c>
      <c r="G833" t="s">
        <v>546</v>
      </c>
      <c r="H833" t="s">
        <v>24</v>
      </c>
      <c r="I833" t="s">
        <v>44</v>
      </c>
      <c r="J833">
        <v>13.5</v>
      </c>
      <c r="K833">
        <v>17265</v>
      </c>
      <c r="L833" t="s">
        <v>26</v>
      </c>
      <c r="M833" t="s">
        <v>27</v>
      </c>
      <c r="N833" t="s">
        <v>28</v>
      </c>
      <c r="O833" t="s">
        <v>118</v>
      </c>
      <c r="P833" t="s">
        <v>30</v>
      </c>
      <c r="Q833">
        <v>5</v>
      </c>
      <c r="R833">
        <v>2</v>
      </c>
    </row>
    <row r="834" spans="1:18" x14ac:dyDescent="0.3">
      <c r="A834" t="s">
        <v>1938</v>
      </c>
      <c r="B834" t="s">
        <v>70</v>
      </c>
      <c r="C834" t="s">
        <v>20</v>
      </c>
      <c r="D834" t="s">
        <v>41</v>
      </c>
      <c r="E834" t="s">
        <v>1939</v>
      </c>
      <c r="F834">
        <v>2022</v>
      </c>
      <c r="G834" t="s">
        <v>104</v>
      </c>
      <c r="H834" t="s">
        <v>96</v>
      </c>
      <c r="I834" t="s">
        <v>44</v>
      </c>
      <c r="J834">
        <v>6.7</v>
      </c>
      <c r="K834">
        <v>15397</v>
      </c>
      <c r="L834" t="s">
        <v>73</v>
      </c>
      <c r="M834" t="s">
        <v>27</v>
      </c>
      <c r="N834" t="s">
        <v>62</v>
      </c>
      <c r="O834" t="s">
        <v>118</v>
      </c>
      <c r="P834" t="s">
        <v>74</v>
      </c>
      <c r="Q834">
        <v>3.7</v>
      </c>
      <c r="R834">
        <v>4</v>
      </c>
    </row>
    <row r="835" spans="1:18" x14ac:dyDescent="0.3">
      <c r="A835" t="s">
        <v>1940</v>
      </c>
      <c r="B835" t="s">
        <v>70</v>
      </c>
      <c r="C835" t="s">
        <v>112</v>
      </c>
      <c r="D835" t="s">
        <v>41</v>
      </c>
      <c r="E835" t="s">
        <v>1941</v>
      </c>
      <c r="F835">
        <v>2021</v>
      </c>
      <c r="G835" t="s">
        <v>67</v>
      </c>
      <c r="H835" t="s">
        <v>35</v>
      </c>
      <c r="I835" t="s">
        <v>25</v>
      </c>
      <c r="J835">
        <v>16.7</v>
      </c>
      <c r="K835">
        <v>14209</v>
      </c>
      <c r="L835" t="s">
        <v>68</v>
      </c>
      <c r="M835" t="s">
        <v>54</v>
      </c>
      <c r="N835" t="s">
        <v>55</v>
      </c>
      <c r="O835" t="s">
        <v>29</v>
      </c>
      <c r="P835" t="s">
        <v>74</v>
      </c>
      <c r="Q835">
        <v>3.1</v>
      </c>
      <c r="R835">
        <v>5</v>
      </c>
    </row>
    <row r="836" spans="1:18" x14ac:dyDescent="0.3">
      <c r="A836" t="s">
        <v>1942</v>
      </c>
      <c r="B836" t="s">
        <v>49</v>
      </c>
      <c r="C836" t="s">
        <v>76</v>
      </c>
      <c r="D836" t="s">
        <v>41</v>
      </c>
      <c r="E836" t="s">
        <v>1943</v>
      </c>
      <c r="F836">
        <v>2023</v>
      </c>
      <c r="G836" t="s">
        <v>171</v>
      </c>
      <c r="H836" t="s">
        <v>35</v>
      </c>
      <c r="I836" t="s">
        <v>25</v>
      </c>
      <c r="J836">
        <v>4.9000000000000004</v>
      </c>
      <c r="K836">
        <v>8779</v>
      </c>
      <c r="L836" t="s">
        <v>73</v>
      </c>
      <c r="M836" t="s">
        <v>80</v>
      </c>
      <c r="N836" t="s">
        <v>28</v>
      </c>
      <c r="O836" t="s">
        <v>29</v>
      </c>
      <c r="P836" t="s">
        <v>74</v>
      </c>
      <c r="Q836">
        <v>3</v>
      </c>
      <c r="R836">
        <v>3</v>
      </c>
    </row>
    <row r="837" spans="1:18" x14ac:dyDescent="0.3">
      <c r="A837" t="s">
        <v>1944</v>
      </c>
      <c r="B837" t="s">
        <v>19</v>
      </c>
      <c r="C837" t="s">
        <v>20</v>
      </c>
      <c r="D837" t="s">
        <v>21</v>
      </c>
      <c r="E837" t="s">
        <v>1945</v>
      </c>
      <c r="F837">
        <v>2015</v>
      </c>
      <c r="G837" t="s">
        <v>803</v>
      </c>
      <c r="H837" t="s">
        <v>96</v>
      </c>
      <c r="I837" t="s">
        <v>25</v>
      </c>
      <c r="J837">
        <v>13</v>
      </c>
      <c r="K837">
        <v>27184</v>
      </c>
      <c r="L837" t="s">
        <v>36</v>
      </c>
      <c r="M837" t="s">
        <v>80</v>
      </c>
      <c r="N837" t="s">
        <v>28</v>
      </c>
      <c r="O837" t="s">
        <v>46</v>
      </c>
      <c r="P837" t="s">
        <v>38</v>
      </c>
      <c r="Q837">
        <v>3</v>
      </c>
      <c r="R837">
        <v>11</v>
      </c>
    </row>
    <row r="838" spans="1:18" x14ac:dyDescent="0.3">
      <c r="A838" t="s">
        <v>1946</v>
      </c>
      <c r="B838" t="s">
        <v>40</v>
      </c>
      <c r="C838" t="s">
        <v>20</v>
      </c>
      <c r="D838" t="s">
        <v>65</v>
      </c>
      <c r="E838" t="s">
        <v>1947</v>
      </c>
      <c r="F838">
        <v>2017</v>
      </c>
      <c r="G838" t="s">
        <v>1066</v>
      </c>
      <c r="H838" t="s">
        <v>24</v>
      </c>
      <c r="I838" t="s">
        <v>100</v>
      </c>
      <c r="J838">
        <v>5.5</v>
      </c>
      <c r="K838">
        <v>1703</v>
      </c>
      <c r="L838" t="s">
        <v>26</v>
      </c>
      <c r="M838" t="s">
        <v>54</v>
      </c>
      <c r="N838" t="s">
        <v>62</v>
      </c>
      <c r="O838" t="s">
        <v>46</v>
      </c>
      <c r="P838" t="s">
        <v>74</v>
      </c>
      <c r="Q838">
        <v>5</v>
      </c>
      <c r="R838">
        <v>9</v>
      </c>
    </row>
    <row r="839" spans="1:18" x14ac:dyDescent="0.3">
      <c r="A839" t="s">
        <v>1948</v>
      </c>
      <c r="B839" t="s">
        <v>40</v>
      </c>
      <c r="C839" t="s">
        <v>64</v>
      </c>
      <c r="D839" t="s">
        <v>77</v>
      </c>
      <c r="E839" t="s">
        <v>1949</v>
      </c>
      <c r="F839">
        <v>2018</v>
      </c>
      <c r="G839" t="s">
        <v>729</v>
      </c>
      <c r="H839" t="s">
        <v>35</v>
      </c>
      <c r="I839" t="s">
        <v>61</v>
      </c>
      <c r="J839">
        <v>3.8</v>
      </c>
      <c r="K839">
        <v>31333</v>
      </c>
      <c r="L839" t="s">
        <v>73</v>
      </c>
      <c r="M839" t="s">
        <v>80</v>
      </c>
      <c r="N839" t="s">
        <v>62</v>
      </c>
      <c r="O839" t="s">
        <v>118</v>
      </c>
      <c r="P839" t="s">
        <v>47</v>
      </c>
      <c r="Q839">
        <v>3.7</v>
      </c>
      <c r="R839">
        <v>8</v>
      </c>
    </row>
    <row r="840" spans="1:18" x14ac:dyDescent="0.3">
      <c r="A840" t="s">
        <v>1950</v>
      </c>
      <c r="B840" t="s">
        <v>19</v>
      </c>
      <c r="C840" t="s">
        <v>64</v>
      </c>
      <c r="D840" t="s">
        <v>65</v>
      </c>
      <c r="E840" t="s">
        <v>1951</v>
      </c>
      <c r="F840">
        <v>2016</v>
      </c>
      <c r="G840" t="s">
        <v>99</v>
      </c>
      <c r="H840" t="s">
        <v>35</v>
      </c>
      <c r="I840" t="s">
        <v>44</v>
      </c>
      <c r="J840">
        <v>10.9</v>
      </c>
      <c r="K840">
        <v>32552</v>
      </c>
      <c r="L840" t="s">
        <v>45</v>
      </c>
      <c r="M840" t="s">
        <v>80</v>
      </c>
      <c r="N840" t="s">
        <v>55</v>
      </c>
      <c r="O840" t="s">
        <v>29</v>
      </c>
      <c r="P840" t="s">
        <v>47</v>
      </c>
      <c r="Q840">
        <v>1.5</v>
      </c>
      <c r="R840">
        <v>10</v>
      </c>
    </row>
    <row r="841" spans="1:18" x14ac:dyDescent="0.3">
      <c r="A841" t="s">
        <v>1952</v>
      </c>
      <c r="B841" t="s">
        <v>70</v>
      </c>
      <c r="C841" t="s">
        <v>64</v>
      </c>
      <c r="D841" t="s">
        <v>93</v>
      </c>
      <c r="E841" t="s">
        <v>1953</v>
      </c>
      <c r="F841">
        <v>2014</v>
      </c>
      <c r="G841" t="s">
        <v>678</v>
      </c>
      <c r="H841" t="s">
        <v>35</v>
      </c>
      <c r="I841" t="s">
        <v>61</v>
      </c>
      <c r="J841">
        <v>14.1</v>
      </c>
      <c r="K841">
        <v>8053</v>
      </c>
      <c r="L841" t="s">
        <v>68</v>
      </c>
      <c r="M841" t="s">
        <v>37</v>
      </c>
      <c r="N841" t="s">
        <v>55</v>
      </c>
      <c r="O841" t="s">
        <v>118</v>
      </c>
      <c r="P841" t="s">
        <v>38</v>
      </c>
      <c r="Q841">
        <v>3.8</v>
      </c>
      <c r="R841">
        <v>12</v>
      </c>
    </row>
    <row r="842" spans="1:18" x14ac:dyDescent="0.3">
      <c r="A842" t="s">
        <v>1954</v>
      </c>
      <c r="B842" t="s">
        <v>58</v>
      </c>
      <c r="C842" t="s">
        <v>20</v>
      </c>
      <c r="D842" t="s">
        <v>77</v>
      </c>
      <c r="E842" t="s">
        <v>1955</v>
      </c>
      <c r="F842">
        <v>2022</v>
      </c>
      <c r="G842" t="s">
        <v>1580</v>
      </c>
      <c r="H842" t="s">
        <v>24</v>
      </c>
      <c r="I842" t="s">
        <v>53</v>
      </c>
      <c r="J842">
        <v>5.8</v>
      </c>
      <c r="K842">
        <v>23371</v>
      </c>
      <c r="L842" t="s">
        <v>45</v>
      </c>
      <c r="M842" t="s">
        <v>27</v>
      </c>
      <c r="N842" t="s">
        <v>28</v>
      </c>
      <c r="O842" t="s">
        <v>118</v>
      </c>
      <c r="P842" t="s">
        <v>38</v>
      </c>
      <c r="Q842">
        <v>5.4</v>
      </c>
      <c r="R842">
        <v>4</v>
      </c>
    </row>
    <row r="843" spans="1:18" x14ac:dyDescent="0.3">
      <c r="A843" t="s">
        <v>1956</v>
      </c>
      <c r="B843" t="s">
        <v>40</v>
      </c>
      <c r="C843" t="s">
        <v>76</v>
      </c>
      <c r="D843" t="s">
        <v>50</v>
      </c>
      <c r="E843" t="s">
        <v>1957</v>
      </c>
      <c r="F843">
        <v>2024</v>
      </c>
      <c r="G843" t="s">
        <v>352</v>
      </c>
      <c r="H843" t="s">
        <v>24</v>
      </c>
      <c r="I843" t="s">
        <v>61</v>
      </c>
      <c r="J843">
        <v>6.8</v>
      </c>
      <c r="K843">
        <v>3525</v>
      </c>
      <c r="L843" t="s">
        <v>73</v>
      </c>
      <c r="M843" t="s">
        <v>27</v>
      </c>
      <c r="N843" t="s">
        <v>55</v>
      </c>
      <c r="O843" t="s">
        <v>29</v>
      </c>
      <c r="P843" t="s">
        <v>38</v>
      </c>
      <c r="Q843">
        <v>1.3</v>
      </c>
      <c r="R843">
        <v>2</v>
      </c>
    </row>
    <row r="844" spans="1:18" x14ac:dyDescent="0.3">
      <c r="A844" t="s">
        <v>1958</v>
      </c>
      <c r="B844" t="s">
        <v>19</v>
      </c>
      <c r="C844" t="s">
        <v>20</v>
      </c>
      <c r="D844" t="s">
        <v>65</v>
      </c>
      <c r="E844" t="s">
        <v>1959</v>
      </c>
      <c r="F844">
        <v>2020</v>
      </c>
      <c r="G844" t="s">
        <v>1003</v>
      </c>
      <c r="H844" t="s">
        <v>35</v>
      </c>
      <c r="I844" t="s">
        <v>85</v>
      </c>
      <c r="J844">
        <v>17.8</v>
      </c>
      <c r="K844">
        <v>36031</v>
      </c>
      <c r="L844" t="s">
        <v>73</v>
      </c>
      <c r="M844" t="s">
        <v>37</v>
      </c>
      <c r="N844" t="s">
        <v>62</v>
      </c>
      <c r="O844" t="s">
        <v>118</v>
      </c>
      <c r="P844" t="s">
        <v>86</v>
      </c>
      <c r="Q844">
        <v>4.2</v>
      </c>
      <c r="R844">
        <v>6</v>
      </c>
    </row>
    <row r="845" spans="1:18" x14ac:dyDescent="0.3">
      <c r="A845" t="s">
        <v>1960</v>
      </c>
      <c r="B845" t="s">
        <v>70</v>
      </c>
      <c r="C845" t="s">
        <v>64</v>
      </c>
      <c r="D845" t="s">
        <v>41</v>
      </c>
      <c r="E845" t="s">
        <v>1961</v>
      </c>
      <c r="F845">
        <v>2020</v>
      </c>
      <c r="G845" t="s">
        <v>586</v>
      </c>
      <c r="H845" t="s">
        <v>35</v>
      </c>
      <c r="I845" t="s">
        <v>25</v>
      </c>
      <c r="J845">
        <v>6.5</v>
      </c>
      <c r="K845">
        <v>41632</v>
      </c>
      <c r="L845" t="s">
        <v>26</v>
      </c>
      <c r="M845" t="s">
        <v>27</v>
      </c>
      <c r="N845" t="s">
        <v>55</v>
      </c>
      <c r="O845" t="s">
        <v>46</v>
      </c>
      <c r="P845" t="s">
        <v>86</v>
      </c>
      <c r="Q845">
        <v>3.2</v>
      </c>
      <c r="R845">
        <v>6</v>
      </c>
    </row>
    <row r="846" spans="1:18" x14ac:dyDescent="0.3">
      <c r="A846" t="s">
        <v>1962</v>
      </c>
      <c r="B846" t="s">
        <v>40</v>
      </c>
      <c r="C846" t="s">
        <v>76</v>
      </c>
      <c r="D846" t="s">
        <v>65</v>
      </c>
      <c r="E846" t="s">
        <v>1963</v>
      </c>
      <c r="F846">
        <v>2014</v>
      </c>
      <c r="G846" t="s">
        <v>259</v>
      </c>
      <c r="H846" t="s">
        <v>24</v>
      </c>
      <c r="I846" t="s">
        <v>53</v>
      </c>
      <c r="J846">
        <v>11.4</v>
      </c>
      <c r="K846">
        <v>12156</v>
      </c>
      <c r="L846" t="s">
        <v>68</v>
      </c>
      <c r="M846" t="s">
        <v>27</v>
      </c>
      <c r="N846" t="s">
        <v>55</v>
      </c>
      <c r="O846" t="s">
        <v>29</v>
      </c>
      <c r="P846" t="s">
        <v>86</v>
      </c>
      <c r="Q846">
        <v>0.6</v>
      </c>
      <c r="R846">
        <v>12</v>
      </c>
    </row>
    <row r="847" spans="1:18" x14ac:dyDescent="0.3">
      <c r="A847" t="s">
        <v>1964</v>
      </c>
      <c r="B847" t="s">
        <v>70</v>
      </c>
      <c r="C847" t="s">
        <v>32</v>
      </c>
      <c r="D847" t="s">
        <v>41</v>
      </c>
      <c r="E847" t="s">
        <v>1965</v>
      </c>
      <c r="F847">
        <v>2014</v>
      </c>
      <c r="G847" t="s">
        <v>305</v>
      </c>
      <c r="H847" t="s">
        <v>24</v>
      </c>
      <c r="I847" t="s">
        <v>53</v>
      </c>
      <c r="J847">
        <v>0.6</v>
      </c>
      <c r="K847">
        <v>24585</v>
      </c>
      <c r="L847" t="s">
        <v>101</v>
      </c>
      <c r="M847" t="s">
        <v>80</v>
      </c>
      <c r="N847" t="s">
        <v>28</v>
      </c>
      <c r="O847" t="s">
        <v>118</v>
      </c>
      <c r="P847" t="s">
        <v>56</v>
      </c>
      <c r="Q847">
        <v>3.8</v>
      </c>
      <c r="R847">
        <v>12</v>
      </c>
    </row>
    <row r="848" spans="1:18" x14ac:dyDescent="0.3">
      <c r="A848" t="s">
        <v>1966</v>
      </c>
      <c r="B848" t="s">
        <v>49</v>
      </c>
      <c r="C848" t="s">
        <v>32</v>
      </c>
      <c r="D848" t="s">
        <v>21</v>
      </c>
      <c r="E848" t="s">
        <v>1967</v>
      </c>
      <c r="F848">
        <v>2018</v>
      </c>
      <c r="G848" t="s">
        <v>1968</v>
      </c>
      <c r="H848" t="s">
        <v>96</v>
      </c>
      <c r="I848" t="s">
        <v>25</v>
      </c>
      <c r="J848">
        <v>5.2</v>
      </c>
      <c r="K848">
        <v>14392</v>
      </c>
      <c r="L848" t="s">
        <v>36</v>
      </c>
      <c r="M848" t="s">
        <v>80</v>
      </c>
      <c r="N848" t="s">
        <v>55</v>
      </c>
      <c r="O848" t="s">
        <v>29</v>
      </c>
      <c r="P848" t="s">
        <v>30</v>
      </c>
      <c r="Q848">
        <v>5</v>
      </c>
      <c r="R848">
        <v>8</v>
      </c>
    </row>
    <row r="849" spans="1:18" x14ac:dyDescent="0.3">
      <c r="A849" t="s">
        <v>1969</v>
      </c>
      <c r="B849" t="s">
        <v>58</v>
      </c>
      <c r="C849" t="s">
        <v>76</v>
      </c>
      <c r="D849" t="s">
        <v>82</v>
      </c>
      <c r="E849" t="s">
        <v>1970</v>
      </c>
      <c r="F849">
        <v>2019</v>
      </c>
      <c r="G849" t="s">
        <v>174</v>
      </c>
      <c r="H849" t="s">
        <v>96</v>
      </c>
      <c r="I849" t="s">
        <v>44</v>
      </c>
      <c r="J849">
        <v>16.100000000000001</v>
      </c>
      <c r="K849">
        <v>21293</v>
      </c>
      <c r="L849" t="s">
        <v>45</v>
      </c>
      <c r="M849" t="s">
        <v>37</v>
      </c>
      <c r="N849" t="s">
        <v>28</v>
      </c>
      <c r="O849" t="s">
        <v>46</v>
      </c>
      <c r="P849" t="s">
        <v>47</v>
      </c>
      <c r="Q849">
        <v>6.9</v>
      </c>
      <c r="R849">
        <v>7</v>
      </c>
    </row>
    <row r="850" spans="1:18" x14ac:dyDescent="0.3">
      <c r="A850" t="s">
        <v>1971</v>
      </c>
      <c r="B850" t="s">
        <v>49</v>
      </c>
      <c r="C850" t="s">
        <v>64</v>
      </c>
      <c r="D850" t="s">
        <v>65</v>
      </c>
      <c r="E850" t="s">
        <v>1972</v>
      </c>
      <c r="F850">
        <v>2019</v>
      </c>
      <c r="G850" t="s">
        <v>295</v>
      </c>
      <c r="H850" t="s">
        <v>35</v>
      </c>
      <c r="I850" t="s">
        <v>53</v>
      </c>
      <c r="J850">
        <v>2.9</v>
      </c>
      <c r="K850">
        <v>37825</v>
      </c>
      <c r="L850" t="s">
        <v>73</v>
      </c>
      <c r="M850" t="s">
        <v>37</v>
      </c>
      <c r="N850" t="s">
        <v>55</v>
      </c>
      <c r="O850" t="s">
        <v>29</v>
      </c>
      <c r="P850" t="s">
        <v>86</v>
      </c>
      <c r="Q850">
        <v>5.9</v>
      </c>
      <c r="R850">
        <v>7</v>
      </c>
    </row>
    <row r="851" spans="1:18" x14ac:dyDescent="0.3">
      <c r="A851" t="s">
        <v>1973</v>
      </c>
      <c r="B851" t="s">
        <v>49</v>
      </c>
      <c r="C851" t="s">
        <v>64</v>
      </c>
      <c r="D851" t="s">
        <v>82</v>
      </c>
      <c r="E851" t="s">
        <v>1974</v>
      </c>
      <c r="F851">
        <v>2024</v>
      </c>
      <c r="G851" t="s">
        <v>386</v>
      </c>
      <c r="H851" t="s">
        <v>35</v>
      </c>
      <c r="I851" t="s">
        <v>85</v>
      </c>
      <c r="J851">
        <v>2.2000000000000002</v>
      </c>
      <c r="K851">
        <v>36009</v>
      </c>
      <c r="L851" t="s">
        <v>36</v>
      </c>
      <c r="M851" t="s">
        <v>37</v>
      </c>
      <c r="N851" t="s">
        <v>62</v>
      </c>
      <c r="O851" t="s">
        <v>46</v>
      </c>
      <c r="P851" t="s">
        <v>38</v>
      </c>
      <c r="Q851">
        <v>3.9</v>
      </c>
      <c r="R851">
        <v>2</v>
      </c>
    </row>
    <row r="852" spans="1:18" x14ac:dyDescent="0.3">
      <c r="A852" t="s">
        <v>1975</v>
      </c>
      <c r="B852" t="s">
        <v>58</v>
      </c>
      <c r="C852" t="s">
        <v>76</v>
      </c>
      <c r="D852" t="s">
        <v>82</v>
      </c>
      <c r="E852" t="s">
        <v>1976</v>
      </c>
      <c r="F852">
        <v>2019</v>
      </c>
      <c r="G852" t="s">
        <v>79</v>
      </c>
      <c r="H852" t="s">
        <v>24</v>
      </c>
      <c r="I852" t="s">
        <v>100</v>
      </c>
      <c r="J852">
        <v>1</v>
      </c>
      <c r="K852">
        <v>29085</v>
      </c>
      <c r="L852" t="s">
        <v>26</v>
      </c>
      <c r="M852" t="s">
        <v>54</v>
      </c>
      <c r="N852" t="s">
        <v>62</v>
      </c>
      <c r="O852" t="s">
        <v>118</v>
      </c>
      <c r="P852" t="s">
        <v>56</v>
      </c>
      <c r="Q852">
        <v>6</v>
      </c>
      <c r="R852">
        <v>7</v>
      </c>
    </row>
    <row r="853" spans="1:18" x14ac:dyDescent="0.3">
      <c r="A853" t="s">
        <v>1977</v>
      </c>
      <c r="B853" t="s">
        <v>49</v>
      </c>
      <c r="C853" t="s">
        <v>32</v>
      </c>
      <c r="D853" t="s">
        <v>93</v>
      </c>
      <c r="E853" t="s">
        <v>1978</v>
      </c>
      <c r="F853">
        <v>2019</v>
      </c>
      <c r="G853" t="s">
        <v>1171</v>
      </c>
      <c r="H853" t="s">
        <v>96</v>
      </c>
      <c r="I853" t="s">
        <v>44</v>
      </c>
      <c r="J853">
        <v>13.7</v>
      </c>
      <c r="K853">
        <v>27233</v>
      </c>
      <c r="L853" t="s">
        <v>73</v>
      </c>
      <c r="M853" t="s">
        <v>27</v>
      </c>
      <c r="N853" t="s">
        <v>62</v>
      </c>
      <c r="O853" t="s">
        <v>29</v>
      </c>
      <c r="P853" t="s">
        <v>47</v>
      </c>
      <c r="Q853">
        <v>8.1999999999999993</v>
      </c>
      <c r="R853">
        <v>7</v>
      </c>
    </row>
    <row r="854" spans="1:18" x14ac:dyDescent="0.3">
      <c r="A854" t="s">
        <v>1979</v>
      </c>
      <c r="B854" t="s">
        <v>19</v>
      </c>
      <c r="C854" t="s">
        <v>112</v>
      </c>
      <c r="D854" t="s">
        <v>41</v>
      </c>
      <c r="E854" t="s">
        <v>1980</v>
      </c>
      <c r="F854">
        <v>2022</v>
      </c>
      <c r="G854" t="s">
        <v>501</v>
      </c>
      <c r="H854" t="s">
        <v>24</v>
      </c>
      <c r="I854" t="s">
        <v>25</v>
      </c>
      <c r="J854">
        <v>2.4</v>
      </c>
      <c r="K854">
        <v>40450</v>
      </c>
      <c r="L854" t="s">
        <v>26</v>
      </c>
      <c r="M854" t="s">
        <v>37</v>
      </c>
      <c r="N854" t="s">
        <v>62</v>
      </c>
      <c r="O854" t="s">
        <v>118</v>
      </c>
      <c r="P854" t="s">
        <v>38</v>
      </c>
      <c r="Q854">
        <v>3.6</v>
      </c>
      <c r="R854">
        <v>4</v>
      </c>
    </row>
    <row r="855" spans="1:18" x14ac:dyDescent="0.3">
      <c r="A855" t="s">
        <v>1981</v>
      </c>
      <c r="B855" t="s">
        <v>49</v>
      </c>
      <c r="C855" t="s">
        <v>32</v>
      </c>
      <c r="D855" t="s">
        <v>65</v>
      </c>
      <c r="E855" t="s">
        <v>1982</v>
      </c>
      <c r="F855">
        <v>2014</v>
      </c>
      <c r="G855" t="s">
        <v>159</v>
      </c>
      <c r="H855" t="s">
        <v>35</v>
      </c>
      <c r="I855" t="s">
        <v>25</v>
      </c>
      <c r="J855">
        <v>4.0999999999999996</v>
      </c>
      <c r="K855">
        <v>10947</v>
      </c>
      <c r="L855" t="s">
        <v>45</v>
      </c>
      <c r="M855" t="s">
        <v>27</v>
      </c>
      <c r="N855" t="s">
        <v>28</v>
      </c>
      <c r="O855" t="s">
        <v>29</v>
      </c>
      <c r="P855" t="s">
        <v>38</v>
      </c>
      <c r="Q855">
        <v>6.6</v>
      </c>
      <c r="R855">
        <v>12</v>
      </c>
    </row>
    <row r="856" spans="1:18" x14ac:dyDescent="0.3">
      <c r="A856" t="s">
        <v>1983</v>
      </c>
      <c r="B856" t="s">
        <v>70</v>
      </c>
      <c r="C856" t="s">
        <v>112</v>
      </c>
      <c r="D856" t="s">
        <v>50</v>
      </c>
      <c r="E856" t="s">
        <v>1984</v>
      </c>
      <c r="F856">
        <v>2016</v>
      </c>
      <c r="G856" t="s">
        <v>134</v>
      </c>
      <c r="H856" t="s">
        <v>24</v>
      </c>
      <c r="I856" t="s">
        <v>25</v>
      </c>
      <c r="J856">
        <v>4</v>
      </c>
      <c r="K856">
        <v>5900</v>
      </c>
      <c r="L856" t="s">
        <v>26</v>
      </c>
      <c r="M856" t="s">
        <v>54</v>
      </c>
      <c r="N856" t="s">
        <v>62</v>
      </c>
      <c r="O856" t="s">
        <v>29</v>
      </c>
      <c r="P856" t="s">
        <v>74</v>
      </c>
      <c r="Q856">
        <v>1.4</v>
      </c>
      <c r="R856">
        <v>10</v>
      </c>
    </row>
    <row r="857" spans="1:18" x14ac:dyDescent="0.3">
      <c r="A857" t="s">
        <v>1985</v>
      </c>
      <c r="B857" t="s">
        <v>58</v>
      </c>
      <c r="C857" t="s">
        <v>112</v>
      </c>
      <c r="D857" t="s">
        <v>50</v>
      </c>
      <c r="E857" t="s">
        <v>1986</v>
      </c>
      <c r="F857">
        <v>2017</v>
      </c>
      <c r="G857" t="s">
        <v>389</v>
      </c>
      <c r="H857" t="s">
        <v>35</v>
      </c>
      <c r="I857" t="s">
        <v>85</v>
      </c>
      <c r="J857">
        <v>1.5</v>
      </c>
      <c r="K857">
        <v>9483</v>
      </c>
      <c r="L857" t="s">
        <v>68</v>
      </c>
      <c r="M857" t="s">
        <v>27</v>
      </c>
      <c r="N857" t="s">
        <v>55</v>
      </c>
      <c r="O857" t="s">
        <v>29</v>
      </c>
      <c r="P857" t="s">
        <v>56</v>
      </c>
      <c r="Q857">
        <v>8.5</v>
      </c>
      <c r="R857">
        <v>9</v>
      </c>
    </row>
    <row r="858" spans="1:18" x14ac:dyDescent="0.3">
      <c r="A858" t="s">
        <v>1987</v>
      </c>
      <c r="B858" t="s">
        <v>49</v>
      </c>
      <c r="C858" t="s">
        <v>76</v>
      </c>
      <c r="D858" t="s">
        <v>50</v>
      </c>
      <c r="E858" t="s">
        <v>1988</v>
      </c>
      <c r="F858">
        <v>2022</v>
      </c>
      <c r="G858" t="s">
        <v>129</v>
      </c>
      <c r="H858" t="s">
        <v>35</v>
      </c>
      <c r="I858" t="s">
        <v>44</v>
      </c>
      <c r="J858">
        <v>8.1</v>
      </c>
      <c r="K858">
        <v>43193</v>
      </c>
      <c r="L858" t="s">
        <v>26</v>
      </c>
      <c r="M858" t="s">
        <v>54</v>
      </c>
      <c r="N858" t="s">
        <v>28</v>
      </c>
      <c r="O858" t="s">
        <v>46</v>
      </c>
      <c r="P858" t="s">
        <v>38</v>
      </c>
      <c r="Q858">
        <v>2.8</v>
      </c>
      <c r="R858">
        <v>4</v>
      </c>
    </row>
    <row r="859" spans="1:18" x14ac:dyDescent="0.3">
      <c r="A859" t="s">
        <v>1989</v>
      </c>
      <c r="B859" t="s">
        <v>49</v>
      </c>
      <c r="C859" t="s">
        <v>64</v>
      </c>
      <c r="D859" t="s">
        <v>82</v>
      </c>
      <c r="E859" t="s">
        <v>1990</v>
      </c>
      <c r="F859">
        <v>2022</v>
      </c>
      <c r="G859" t="s">
        <v>543</v>
      </c>
      <c r="H859" t="s">
        <v>24</v>
      </c>
      <c r="I859" t="s">
        <v>53</v>
      </c>
      <c r="J859">
        <v>12.2</v>
      </c>
      <c r="K859">
        <v>40085</v>
      </c>
      <c r="L859" t="s">
        <v>36</v>
      </c>
      <c r="M859" t="s">
        <v>37</v>
      </c>
      <c r="N859" t="s">
        <v>62</v>
      </c>
      <c r="O859" t="s">
        <v>118</v>
      </c>
      <c r="P859" t="s">
        <v>47</v>
      </c>
      <c r="Q859">
        <v>4.2</v>
      </c>
      <c r="R859">
        <v>4</v>
      </c>
    </row>
    <row r="860" spans="1:18" x14ac:dyDescent="0.3">
      <c r="A860" t="s">
        <v>1991</v>
      </c>
      <c r="B860" t="s">
        <v>58</v>
      </c>
      <c r="C860" t="s">
        <v>76</v>
      </c>
      <c r="D860" t="s">
        <v>21</v>
      </c>
      <c r="E860" t="s">
        <v>1992</v>
      </c>
      <c r="F860">
        <v>2015</v>
      </c>
      <c r="G860" t="s">
        <v>386</v>
      </c>
      <c r="H860" t="s">
        <v>24</v>
      </c>
      <c r="I860" t="s">
        <v>85</v>
      </c>
      <c r="J860">
        <v>2.6</v>
      </c>
      <c r="K860">
        <v>27021</v>
      </c>
      <c r="L860" t="s">
        <v>26</v>
      </c>
      <c r="M860" t="s">
        <v>37</v>
      </c>
      <c r="N860" t="s">
        <v>28</v>
      </c>
      <c r="O860" t="s">
        <v>46</v>
      </c>
      <c r="P860" t="s">
        <v>38</v>
      </c>
      <c r="Q860">
        <v>9</v>
      </c>
      <c r="R860">
        <v>11</v>
      </c>
    </row>
    <row r="861" spans="1:18" x14ac:dyDescent="0.3">
      <c r="A861" t="s">
        <v>1993</v>
      </c>
      <c r="B861" t="s">
        <v>19</v>
      </c>
      <c r="C861" t="s">
        <v>20</v>
      </c>
      <c r="D861" t="s">
        <v>21</v>
      </c>
      <c r="E861" t="s">
        <v>1994</v>
      </c>
      <c r="F861">
        <v>2023</v>
      </c>
      <c r="G861" t="s">
        <v>165</v>
      </c>
      <c r="H861" t="s">
        <v>24</v>
      </c>
      <c r="I861" t="s">
        <v>25</v>
      </c>
      <c r="J861">
        <v>8.5</v>
      </c>
      <c r="K861">
        <v>2097</v>
      </c>
      <c r="L861" t="s">
        <v>73</v>
      </c>
      <c r="M861" t="s">
        <v>37</v>
      </c>
      <c r="N861" t="s">
        <v>62</v>
      </c>
      <c r="O861" t="s">
        <v>46</v>
      </c>
      <c r="P861" t="s">
        <v>56</v>
      </c>
      <c r="Q861">
        <v>3.8</v>
      </c>
      <c r="R861">
        <v>3</v>
      </c>
    </row>
    <row r="862" spans="1:18" x14ac:dyDescent="0.3">
      <c r="A862" t="s">
        <v>1995</v>
      </c>
      <c r="B862" t="s">
        <v>58</v>
      </c>
      <c r="C862" t="s">
        <v>32</v>
      </c>
      <c r="D862" t="s">
        <v>41</v>
      </c>
      <c r="E862" t="s">
        <v>1996</v>
      </c>
      <c r="F862">
        <v>2025</v>
      </c>
      <c r="G862" t="s">
        <v>994</v>
      </c>
      <c r="H862" t="s">
        <v>24</v>
      </c>
      <c r="I862" t="s">
        <v>61</v>
      </c>
      <c r="J862">
        <v>6.7</v>
      </c>
      <c r="K862">
        <v>38406</v>
      </c>
      <c r="L862" t="s">
        <v>68</v>
      </c>
      <c r="M862" t="s">
        <v>27</v>
      </c>
      <c r="N862" t="s">
        <v>62</v>
      </c>
      <c r="O862" t="s">
        <v>29</v>
      </c>
      <c r="P862" t="s">
        <v>86</v>
      </c>
      <c r="Q862">
        <v>8</v>
      </c>
      <c r="R862">
        <v>1</v>
      </c>
    </row>
    <row r="863" spans="1:18" x14ac:dyDescent="0.3">
      <c r="A863" t="s">
        <v>1997</v>
      </c>
      <c r="B863" t="s">
        <v>58</v>
      </c>
      <c r="C863" t="s">
        <v>112</v>
      </c>
      <c r="D863" t="s">
        <v>50</v>
      </c>
      <c r="E863" t="s">
        <v>1998</v>
      </c>
      <c r="F863">
        <v>2024</v>
      </c>
      <c r="G863" t="s">
        <v>134</v>
      </c>
      <c r="H863" t="s">
        <v>35</v>
      </c>
      <c r="I863" t="s">
        <v>85</v>
      </c>
      <c r="J863">
        <v>17.3</v>
      </c>
      <c r="K863">
        <v>41204</v>
      </c>
      <c r="L863" t="s">
        <v>101</v>
      </c>
      <c r="M863" t="s">
        <v>54</v>
      </c>
      <c r="N863" t="s">
        <v>62</v>
      </c>
      <c r="O863" t="s">
        <v>46</v>
      </c>
      <c r="P863" t="s">
        <v>74</v>
      </c>
      <c r="Q863">
        <v>7.9</v>
      </c>
      <c r="R863">
        <v>2</v>
      </c>
    </row>
    <row r="864" spans="1:18" x14ac:dyDescent="0.3">
      <c r="A864" t="s">
        <v>1999</v>
      </c>
      <c r="B864" t="s">
        <v>40</v>
      </c>
      <c r="C864" t="s">
        <v>20</v>
      </c>
      <c r="D864" t="s">
        <v>93</v>
      </c>
      <c r="E864" t="s">
        <v>2000</v>
      </c>
      <c r="F864">
        <v>2022</v>
      </c>
      <c r="G864" t="s">
        <v>129</v>
      </c>
      <c r="H864" t="s">
        <v>96</v>
      </c>
      <c r="I864" t="s">
        <v>53</v>
      </c>
      <c r="J864">
        <v>10.7</v>
      </c>
      <c r="K864">
        <v>27961</v>
      </c>
      <c r="L864" t="s">
        <v>26</v>
      </c>
      <c r="M864" t="s">
        <v>80</v>
      </c>
      <c r="N864" t="s">
        <v>28</v>
      </c>
      <c r="O864" t="s">
        <v>46</v>
      </c>
      <c r="P864" t="s">
        <v>56</v>
      </c>
      <c r="Q864">
        <v>2.7</v>
      </c>
      <c r="R864">
        <v>4</v>
      </c>
    </row>
    <row r="865" spans="1:18" x14ac:dyDescent="0.3">
      <c r="A865" t="s">
        <v>2001</v>
      </c>
      <c r="B865" t="s">
        <v>58</v>
      </c>
      <c r="C865" t="s">
        <v>76</v>
      </c>
      <c r="D865" t="s">
        <v>77</v>
      </c>
      <c r="E865" t="s">
        <v>2002</v>
      </c>
      <c r="F865">
        <v>2024</v>
      </c>
      <c r="G865" t="s">
        <v>763</v>
      </c>
      <c r="H865" t="s">
        <v>35</v>
      </c>
      <c r="I865" t="s">
        <v>25</v>
      </c>
      <c r="J865">
        <v>14.4</v>
      </c>
      <c r="K865">
        <v>8409</v>
      </c>
      <c r="L865" t="s">
        <v>73</v>
      </c>
      <c r="M865" t="s">
        <v>27</v>
      </c>
      <c r="N865" t="s">
        <v>55</v>
      </c>
      <c r="O865" t="s">
        <v>29</v>
      </c>
      <c r="P865" t="s">
        <v>30</v>
      </c>
      <c r="Q865">
        <v>6.3</v>
      </c>
      <c r="R865">
        <v>2</v>
      </c>
    </row>
    <row r="866" spans="1:18" x14ac:dyDescent="0.3">
      <c r="A866" t="s">
        <v>2003</v>
      </c>
      <c r="B866" t="s">
        <v>19</v>
      </c>
      <c r="C866" t="s">
        <v>76</v>
      </c>
      <c r="D866" t="s">
        <v>50</v>
      </c>
      <c r="E866" t="s">
        <v>2004</v>
      </c>
      <c r="F866">
        <v>2015</v>
      </c>
      <c r="G866" t="s">
        <v>496</v>
      </c>
      <c r="H866" t="s">
        <v>24</v>
      </c>
      <c r="I866" t="s">
        <v>25</v>
      </c>
      <c r="J866">
        <v>15.2</v>
      </c>
      <c r="K866">
        <v>12907</v>
      </c>
      <c r="L866" t="s">
        <v>68</v>
      </c>
      <c r="M866" t="s">
        <v>80</v>
      </c>
      <c r="N866" t="s">
        <v>62</v>
      </c>
      <c r="O866" t="s">
        <v>118</v>
      </c>
      <c r="P866" t="s">
        <v>47</v>
      </c>
      <c r="Q866">
        <v>1.8</v>
      </c>
      <c r="R866">
        <v>11</v>
      </c>
    </row>
    <row r="867" spans="1:18" x14ac:dyDescent="0.3">
      <c r="A867" t="s">
        <v>2005</v>
      </c>
      <c r="B867" t="s">
        <v>49</v>
      </c>
      <c r="C867" t="s">
        <v>64</v>
      </c>
      <c r="D867" t="s">
        <v>21</v>
      </c>
      <c r="E867" t="s">
        <v>2006</v>
      </c>
      <c r="F867">
        <v>2024</v>
      </c>
      <c r="G867" t="s">
        <v>334</v>
      </c>
      <c r="H867" t="s">
        <v>24</v>
      </c>
      <c r="I867" t="s">
        <v>85</v>
      </c>
      <c r="J867">
        <v>12.4</v>
      </c>
      <c r="K867">
        <v>16278</v>
      </c>
      <c r="L867" t="s">
        <v>73</v>
      </c>
      <c r="M867" t="s">
        <v>54</v>
      </c>
      <c r="N867" t="s">
        <v>55</v>
      </c>
      <c r="O867" t="s">
        <v>46</v>
      </c>
      <c r="P867" t="s">
        <v>56</v>
      </c>
      <c r="Q867">
        <v>1.3</v>
      </c>
      <c r="R867">
        <v>2</v>
      </c>
    </row>
    <row r="868" spans="1:18" x14ac:dyDescent="0.3">
      <c r="A868" t="s">
        <v>2007</v>
      </c>
      <c r="B868" t="s">
        <v>19</v>
      </c>
      <c r="C868" t="s">
        <v>64</v>
      </c>
      <c r="D868" t="s">
        <v>41</v>
      </c>
      <c r="E868" t="s">
        <v>2008</v>
      </c>
      <c r="F868">
        <v>2014</v>
      </c>
      <c r="G868" t="s">
        <v>256</v>
      </c>
      <c r="H868" t="s">
        <v>35</v>
      </c>
      <c r="I868" t="s">
        <v>44</v>
      </c>
      <c r="J868">
        <v>6.8</v>
      </c>
      <c r="K868">
        <v>28240</v>
      </c>
      <c r="L868" t="s">
        <v>45</v>
      </c>
      <c r="M868" t="s">
        <v>80</v>
      </c>
      <c r="N868" t="s">
        <v>55</v>
      </c>
      <c r="O868" t="s">
        <v>29</v>
      </c>
      <c r="P868" t="s">
        <v>38</v>
      </c>
      <c r="Q868">
        <v>7.4</v>
      </c>
      <c r="R868">
        <v>12</v>
      </c>
    </row>
    <row r="869" spans="1:18" x14ac:dyDescent="0.3">
      <c r="A869" t="s">
        <v>2009</v>
      </c>
      <c r="B869" t="s">
        <v>49</v>
      </c>
      <c r="C869" t="s">
        <v>76</v>
      </c>
      <c r="D869" t="s">
        <v>21</v>
      </c>
      <c r="E869" t="s">
        <v>2010</v>
      </c>
      <c r="F869">
        <v>2025</v>
      </c>
      <c r="G869" t="s">
        <v>1289</v>
      </c>
      <c r="H869" t="s">
        <v>35</v>
      </c>
      <c r="I869" t="s">
        <v>100</v>
      </c>
      <c r="J869">
        <v>15</v>
      </c>
      <c r="K869">
        <v>34323</v>
      </c>
      <c r="L869" t="s">
        <v>68</v>
      </c>
      <c r="M869" t="s">
        <v>37</v>
      </c>
      <c r="N869" t="s">
        <v>62</v>
      </c>
      <c r="O869" t="s">
        <v>46</v>
      </c>
      <c r="P869" t="s">
        <v>56</v>
      </c>
      <c r="Q869">
        <v>8.1</v>
      </c>
      <c r="R869">
        <v>1</v>
      </c>
    </row>
    <row r="870" spans="1:18" x14ac:dyDescent="0.3">
      <c r="A870" t="s">
        <v>2011</v>
      </c>
      <c r="B870" t="s">
        <v>58</v>
      </c>
      <c r="C870" t="s">
        <v>112</v>
      </c>
      <c r="D870" t="s">
        <v>93</v>
      </c>
      <c r="E870" t="s">
        <v>2012</v>
      </c>
      <c r="F870">
        <v>2021</v>
      </c>
      <c r="G870" t="s">
        <v>79</v>
      </c>
      <c r="H870" t="s">
        <v>24</v>
      </c>
      <c r="I870" t="s">
        <v>100</v>
      </c>
      <c r="J870">
        <v>5.7</v>
      </c>
      <c r="K870">
        <v>9228</v>
      </c>
      <c r="L870" t="s">
        <v>36</v>
      </c>
      <c r="M870" t="s">
        <v>54</v>
      </c>
      <c r="N870" t="s">
        <v>28</v>
      </c>
      <c r="O870" t="s">
        <v>46</v>
      </c>
      <c r="P870" t="s">
        <v>74</v>
      </c>
      <c r="Q870">
        <v>3.6</v>
      </c>
      <c r="R870">
        <v>5</v>
      </c>
    </row>
    <row r="871" spans="1:18" x14ac:dyDescent="0.3">
      <c r="A871" t="s">
        <v>2013</v>
      </c>
      <c r="B871" t="s">
        <v>70</v>
      </c>
      <c r="C871" t="s">
        <v>20</v>
      </c>
      <c r="D871" t="s">
        <v>82</v>
      </c>
      <c r="E871" t="s">
        <v>2014</v>
      </c>
      <c r="F871">
        <v>2017</v>
      </c>
      <c r="G871" t="s">
        <v>298</v>
      </c>
      <c r="H871" t="s">
        <v>35</v>
      </c>
      <c r="I871" t="s">
        <v>44</v>
      </c>
      <c r="J871">
        <v>15.8</v>
      </c>
      <c r="K871">
        <v>11845</v>
      </c>
      <c r="L871" t="s">
        <v>68</v>
      </c>
      <c r="M871" t="s">
        <v>80</v>
      </c>
      <c r="N871" t="s">
        <v>62</v>
      </c>
      <c r="O871" t="s">
        <v>46</v>
      </c>
      <c r="P871" t="s">
        <v>56</v>
      </c>
      <c r="Q871">
        <v>8.6</v>
      </c>
      <c r="R871">
        <v>9</v>
      </c>
    </row>
    <row r="872" spans="1:18" x14ac:dyDescent="0.3">
      <c r="A872" t="s">
        <v>2015</v>
      </c>
      <c r="B872" t="s">
        <v>70</v>
      </c>
      <c r="C872" t="s">
        <v>76</v>
      </c>
      <c r="D872" t="s">
        <v>93</v>
      </c>
      <c r="E872" t="s">
        <v>2016</v>
      </c>
      <c r="F872">
        <v>2023</v>
      </c>
      <c r="G872" t="s">
        <v>1372</v>
      </c>
      <c r="H872" t="s">
        <v>24</v>
      </c>
      <c r="I872" t="s">
        <v>25</v>
      </c>
      <c r="J872">
        <v>16.100000000000001</v>
      </c>
      <c r="K872">
        <v>39692</v>
      </c>
      <c r="L872" t="s">
        <v>36</v>
      </c>
      <c r="M872" t="s">
        <v>37</v>
      </c>
      <c r="N872" t="s">
        <v>62</v>
      </c>
      <c r="O872" t="s">
        <v>29</v>
      </c>
      <c r="P872" t="s">
        <v>30</v>
      </c>
      <c r="Q872">
        <v>3.7</v>
      </c>
      <c r="R872">
        <v>3</v>
      </c>
    </row>
    <row r="873" spans="1:18" x14ac:dyDescent="0.3">
      <c r="A873" t="s">
        <v>2017</v>
      </c>
      <c r="B873" t="s">
        <v>70</v>
      </c>
      <c r="C873" t="s">
        <v>112</v>
      </c>
      <c r="D873" t="s">
        <v>21</v>
      </c>
      <c r="E873" t="s">
        <v>2018</v>
      </c>
      <c r="F873">
        <v>2018</v>
      </c>
      <c r="G873" t="s">
        <v>926</v>
      </c>
      <c r="H873" t="s">
        <v>24</v>
      </c>
      <c r="I873" t="s">
        <v>25</v>
      </c>
      <c r="J873">
        <v>6.3</v>
      </c>
      <c r="K873">
        <v>44972</v>
      </c>
      <c r="L873" t="s">
        <v>26</v>
      </c>
      <c r="M873" t="s">
        <v>54</v>
      </c>
      <c r="N873" t="s">
        <v>55</v>
      </c>
      <c r="O873" t="s">
        <v>29</v>
      </c>
      <c r="P873" t="s">
        <v>74</v>
      </c>
      <c r="Q873">
        <v>9.1</v>
      </c>
      <c r="R873">
        <v>8</v>
      </c>
    </row>
    <row r="874" spans="1:18" x14ac:dyDescent="0.3">
      <c r="A874" t="s">
        <v>2019</v>
      </c>
      <c r="B874" t="s">
        <v>19</v>
      </c>
      <c r="C874" t="s">
        <v>20</v>
      </c>
      <c r="D874" t="s">
        <v>41</v>
      </c>
      <c r="E874" t="s">
        <v>2020</v>
      </c>
      <c r="F874">
        <v>2025</v>
      </c>
      <c r="G874" t="s">
        <v>1410</v>
      </c>
      <c r="H874" t="s">
        <v>96</v>
      </c>
      <c r="I874" t="s">
        <v>100</v>
      </c>
      <c r="J874">
        <v>13.4</v>
      </c>
      <c r="K874">
        <v>6781</v>
      </c>
      <c r="L874" t="s">
        <v>45</v>
      </c>
      <c r="M874" t="s">
        <v>27</v>
      </c>
      <c r="N874" t="s">
        <v>28</v>
      </c>
      <c r="O874" t="s">
        <v>118</v>
      </c>
      <c r="P874" t="s">
        <v>38</v>
      </c>
      <c r="Q874">
        <v>0.9</v>
      </c>
      <c r="R874">
        <v>1</v>
      </c>
    </row>
    <row r="875" spans="1:18" x14ac:dyDescent="0.3">
      <c r="A875" t="s">
        <v>2021</v>
      </c>
      <c r="B875" t="s">
        <v>49</v>
      </c>
      <c r="C875" t="s">
        <v>64</v>
      </c>
      <c r="D875" t="s">
        <v>65</v>
      </c>
      <c r="E875" t="s">
        <v>2022</v>
      </c>
      <c r="F875">
        <v>2014</v>
      </c>
      <c r="G875" t="s">
        <v>259</v>
      </c>
      <c r="H875" t="s">
        <v>24</v>
      </c>
      <c r="I875" t="s">
        <v>85</v>
      </c>
      <c r="J875">
        <v>5.8</v>
      </c>
      <c r="K875">
        <v>16426</v>
      </c>
      <c r="L875" t="s">
        <v>26</v>
      </c>
      <c r="M875" t="s">
        <v>80</v>
      </c>
      <c r="N875" t="s">
        <v>28</v>
      </c>
      <c r="O875" t="s">
        <v>29</v>
      </c>
      <c r="P875" t="s">
        <v>74</v>
      </c>
      <c r="Q875">
        <v>6.3</v>
      </c>
      <c r="R875">
        <v>12</v>
      </c>
    </row>
    <row r="876" spans="1:18" x14ac:dyDescent="0.3">
      <c r="A876" t="s">
        <v>2023</v>
      </c>
      <c r="B876" t="s">
        <v>19</v>
      </c>
      <c r="C876" t="s">
        <v>32</v>
      </c>
      <c r="D876" t="s">
        <v>82</v>
      </c>
      <c r="E876" t="s">
        <v>2024</v>
      </c>
      <c r="F876">
        <v>2020</v>
      </c>
      <c r="G876" t="s">
        <v>670</v>
      </c>
      <c r="H876" t="s">
        <v>24</v>
      </c>
      <c r="I876" t="s">
        <v>85</v>
      </c>
      <c r="J876">
        <v>12.7</v>
      </c>
      <c r="K876">
        <v>29662</v>
      </c>
      <c r="L876" t="s">
        <v>101</v>
      </c>
      <c r="M876" t="s">
        <v>27</v>
      </c>
      <c r="N876" t="s">
        <v>62</v>
      </c>
      <c r="O876" t="s">
        <v>29</v>
      </c>
      <c r="P876" t="s">
        <v>30</v>
      </c>
      <c r="Q876">
        <v>4.7</v>
      </c>
      <c r="R876">
        <v>6</v>
      </c>
    </row>
    <row r="877" spans="1:18" x14ac:dyDescent="0.3">
      <c r="A877" t="s">
        <v>2025</v>
      </c>
      <c r="B877" t="s">
        <v>70</v>
      </c>
      <c r="C877" t="s">
        <v>64</v>
      </c>
      <c r="D877" t="s">
        <v>77</v>
      </c>
      <c r="E877" t="s">
        <v>2026</v>
      </c>
      <c r="F877">
        <v>2023</v>
      </c>
      <c r="G877" t="s">
        <v>472</v>
      </c>
      <c r="H877" t="s">
        <v>24</v>
      </c>
      <c r="I877" t="s">
        <v>44</v>
      </c>
      <c r="J877">
        <v>4.7</v>
      </c>
      <c r="K877">
        <v>7528</v>
      </c>
      <c r="L877" t="s">
        <v>45</v>
      </c>
      <c r="M877" t="s">
        <v>80</v>
      </c>
      <c r="N877" t="s">
        <v>28</v>
      </c>
      <c r="O877" t="s">
        <v>118</v>
      </c>
      <c r="P877" t="s">
        <v>38</v>
      </c>
      <c r="Q877">
        <v>7.6</v>
      </c>
      <c r="R877">
        <v>3</v>
      </c>
    </row>
    <row r="878" spans="1:18" x14ac:dyDescent="0.3">
      <c r="A878" t="s">
        <v>2027</v>
      </c>
      <c r="B878" t="s">
        <v>19</v>
      </c>
      <c r="C878" t="s">
        <v>112</v>
      </c>
      <c r="D878" t="s">
        <v>50</v>
      </c>
      <c r="E878" t="s">
        <v>2028</v>
      </c>
      <c r="F878">
        <v>2022</v>
      </c>
      <c r="G878" t="s">
        <v>678</v>
      </c>
      <c r="H878" t="s">
        <v>35</v>
      </c>
      <c r="I878" t="s">
        <v>44</v>
      </c>
      <c r="J878">
        <v>1.8</v>
      </c>
      <c r="K878">
        <v>9804</v>
      </c>
      <c r="L878" t="s">
        <v>36</v>
      </c>
      <c r="M878" t="s">
        <v>54</v>
      </c>
      <c r="N878" t="s">
        <v>55</v>
      </c>
      <c r="O878" t="s">
        <v>29</v>
      </c>
      <c r="P878" t="s">
        <v>86</v>
      </c>
      <c r="Q878">
        <v>3.8</v>
      </c>
      <c r="R878">
        <v>4</v>
      </c>
    </row>
    <row r="879" spans="1:18" x14ac:dyDescent="0.3">
      <c r="A879" t="s">
        <v>2029</v>
      </c>
      <c r="B879" t="s">
        <v>70</v>
      </c>
      <c r="C879" t="s">
        <v>64</v>
      </c>
      <c r="D879" t="s">
        <v>93</v>
      </c>
      <c r="E879" t="s">
        <v>2030</v>
      </c>
      <c r="F879">
        <v>2024</v>
      </c>
      <c r="G879" t="s">
        <v>490</v>
      </c>
      <c r="H879" t="s">
        <v>24</v>
      </c>
      <c r="I879" t="s">
        <v>25</v>
      </c>
      <c r="J879">
        <v>2.6</v>
      </c>
      <c r="K879">
        <v>6533</v>
      </c>
      <c r="L879" t="s">
        <v>26</v>
      </c>
      <c r="M879" t="s">
        <v>37</v>
      </c>
      <c r="N879" t="s">
        <v>62</v>
      </c>
      <c r="O879" t="s">
        <v>29</v>
      </c>
      <c r="P879" t="s">
        <v>47</v>
      </c>
      <c r="Q879">
        <v>7.2</v>
      </c>
      <c r="R879">
        <v>2</v>
      </c>
    </row>
    <row r="880" spans="1:18" x14ac:dyDescent="0.3">
      <c r="A880" t="s">
        <v>2031</v>
      </c>
      <c r="B880" t="s">
        <v>58</v>
      </c>
      <c r="C880" t="s">
        <v>20</v>
      </c>
      <c r="D880" t="s">
        <v>77</v>
      </c>
      <c r="E880" t="s">
        <v>2032</v>
      </c>
      <c r="F880">
        <v>2019</v>
      </c>
      <c r="G880" t="s">
        <v>715</v>
      </c>
      <c r="H880" t="s">
        <v>35</v>
      </c>
      <c r="I880" t="s">
        <v>53</v>
      </c>
      <c r="J880">
        <v>15.7</v>
      </c>
      <c r="K880">
        <v>17504</v>
      </c>
      <c r="L880" t="s">
        <v>45</v>
      </c>
      <c r="M880" t="s">
        <v>37</v>
      </c>
      <c r="N880" t="s">
        <v>55</v>
      </c>
      <c r="O880" t="s">
        <v>46</v>
      </c>
      <c r="P880" t="s">
        <v>74</v>
      </c>
      <c r="Q880">
        <v>5.3</v>
      </c>
      <c r="R880">
        <v>7</v>
      </c>
    </row>
    <row r="881" spans="1:18" x14ac:dyDescent="0.3">
      <c r="A881" t="s">
        <v>2033</v>
      </c>
      <c r="B881" t="s">
        <v>58</v>
      </c>
      <c r="C881" t="s">
        <v>32</v>
      </c>
      <c r="D881" t="s">
        <v>82</v>
      </c>
      <c r="E881" t="s">
        <v>2034</v>
      </c>
      <c r="F881">
        <v>2014</v>
      </c>
      <c r="G881" t="s">
        <v>978</v>
      </c>
      <c r="H881" t="s">
        <v>24</v>
      </c>
      <c r="I881" t="s">
        <v>61</v>
      </c>
      <c r="J881">
        <v>16.5</v>
      </c>
      <c r="K881">
        <v>35643</v>
      </c>
      <c r="L881" t="s">
        <v>73</v>
      </c>
      <c r="M881" t="s">
        <v>37</v>
      </c>
      <c r="N881" t="s">
        <v>62</v>
      </c>
      <c r="O881" t="s">
        <v>46</v>
      </c>
      <c r="P881" t="s">
        <v>56</v>
      </c>
      <c r="Q881">
        <v>1.7</v>
      </c>
      <c r="R881">
        <v>12</v>
      </c>
    </row>
    <row r="882" spans="1:18" x14ac:dyDescent="0.3">
      <c r="A882" t="s">
        <v>2035</v>
      </c>
      <c r="B882" t="s">
        <v>40</v>
      </c>
      <c r="C882" t="s">
        <v>112</v>
      </c>
      <c r="D882" t="s">
        <v>21</v>
      </c>
      <c r="E882" t="s">
        <v>2036</v>
      </c>
      <c r="F882">
        <v>2025</v>
      </c>
      <c r="G882" t="s">
        <v>250</v>
      </c>
      <c r="H882" t="s">
        <v>35</v>
      </c>
      <c r="I882" t="s">
        <v>25</v>
      </c>
      <c r="J882">
        <v>13.9</v>
      </c>
      <c r="K882">
        <v>8986</v>
      </c>
      <c r="L882" t="s">
        <v>26</v>
      </c>
      <c r="M882" t="s">
        <v>27</v>
      </c>
      <c r="N882" t="s">
        <v>28</v>
      </c>
      <c r="O882" t="s">
        <v>118</v>
      </c>
      <c r="P882" t="s">
        <v>86</v>
      </c>
      <c r="Q882">
        <v>6.1</v>
      </c>
      <c r="R882">
        <v>1</v>
      </c>
    </row>
    <row r="883" spans="1:18" x14ac:dyDescent="0.3">
      <c r="A883" t="s">
        <v>2037</v>
      </c>
      <c r="B883" t="s">
        <v>19</v>
      </c>
      <c r="C883" t="s">
        <v>20</v>
      </c>
      <c r="D883" t="s">
        <v>50</v>
      </c>
      <c r="E883" t="s">
        <v>2038</v>
      </c>
      <c r="F883">
        <v>2018</v>
      </c>
      <c r="G883" t="s">
        <v>604</v>
      </c>
      <c r="H883" t="s">
        <v>35</v>
      </c>
      <c r="I883" t="s">
        <v>85</v>
      </c>
      <c r="J883">
        <v>0.8</v>
      </c>
      <c r="K883">
        <v>26573</v>
      </c>
      <c r="L883" t="s">
        <v>36</v>
      </c>
      <c r="M883" t="s">
        <v>27</v>
      </c>
      <c r="N883" t="s">
        <v>28</v>
      </c>
      <c r="O883" t="s">
        <v>29</v>
      </c>
      <c r="P883" t="s">
        <v>56</v>
      </c>
      <c r="Q883">
        <v>4.0999999999999996</v>
      </c>
      <c r="R883">
        <v>8</v>
      </c>
    </row>
    <row r="884" spans="1:18" x14ac:dyDescent="0.3">
      <c r="A884" t="s">
        <v>2039</v>
      </c>
      <c r="B884" t="s">
        <v>49</v>
      </c>
      <c r="C884" t="s">
        <v>112</v>
      </c>
      <c r="D884" t="s">
        <v>65</v>
      </c>
      <c r="E884" t="s">
        <v>2040</v>
      </c>
      <c r="F884">
        <v>2024</v>
      </c>
      <c r="G884" t="s">
        <v>441</v>
      </c>
      <c r="H884" t="s">
        <v>24</v>
      </c>
      <c r="I884" t="s">
        <v>100</v>
      </c>
      <c r="J884">
        <v>13.9</v>
      </c>
      <c r="K884">
        <v>3203</v>
      </c>
      <c r="L884" t="s">
        <v>45</v>
      </c>
      <c r="M884" t="s">
        <v>37</v>
      </c>
      <c r="N884" t="s">
        <v>55</v>
      </c>
      <c r="O884" t="s">
        <v>46</v>
      </c>
      <c r="P884" t="s">
        <v>56</v>
      </c>
      <c r="Q884">
        <v>7.7</v>
      </c>
      <c r="R884">
        <v>2</v>
      </c>
    </row>
    <row r="885" spans="1:18" x14ac:dyDescent="0.3">
      <c r="A885" t="s">
        <v>2041</v>
      </c>
      <c r="B885" t="s">
        <v>49</v>
      </c>
      <c r="C885" t="s">
        <v>76</v>
      </c>
      <c r="D885" t="s">
        <v>50</v>
      </c>
      <c r="E885" t="s">
        <v>2042</v>
      </c>
      <c r="F885">
        <v>2019</v>
      </c>
      <c r="G885" t="s">
        <v>583</v>
      </c>
      <c r="H885" t="s">
        <v>24</v>
      </c>
      <c r="I885" t="s">
        <v>25</v>
      </c>
      <c r="J885">
        <v>16.7</v>
      </c>
      <c r="K885">
        <v>5243</v>
      </c>
      <c r="L885" t="s">
        <v>26</v>
      </c>
      <c r="M885" t="s">
        <v>27</v>
      </c>
      <c r="N885" t="s">
        <v>62</v>
      </c>
      <c r="O885" t="s">
        <v>46</v>
      </c>
      <c r="P885" t="s">
        <v>86</v>
      </c>
      <c r="Q885">
        <v>8.6999999999999993</v>
      </c>
      <c r="R885">
        <v>7</v>
      </c>
    </row>
    <row r="886" spans="1:18" x14ac:dyDescent="0.3">
      <c r="A886" t="s">
        <v>2043</v>
      </c>
      <c r="B886" t="s">
        <v>58</v>
      </c>
      <c r="C886" t="s">
        <v>32</v>
      </c>
      <c r="D886" t="s">
        <v>65</v>
      </c>
      <c r="E886" t="s">
        <v>2044</v>
      </c>
      <c r="F886">
        <v>2022</v>
      </c>
      <c r="G886" t="s">
        <v>386</v>
      </c>
      <c r="H886" t="s">
        <v>35</v>
      </c>
      <c r="I886" t="s">
        <v>100</v>
      </c>
      <c r="J886">
        <v>5.0999999999999996</v>
      </c>
      <c r="K886">
        <v>26488</v>
      </c>
      <c r="L886" t="s">
        <v>36</v>
      </c>
      <c r="M886" t="s">
        <v>54</v>
      </c>
      <c r="N886" t="s">
        <v>28</v>
      </c>
      <c r="O886" t="s">
        <v>29</v>
      </c>
      <c r="P886" t="s">
        <v>86</v>
      </c>
      <c r="Q886">
        <v>8.1</v>
      </c>
      <c r="R886">
        <v>4</v>
      </c>
    </row>
    <row r="887" spans="1:18" x14ac:dyDescent="0.3">
      <c r="A887" t="s">
        <v>2045</v>
      </c>
      <c r="B887" t="s">
        <v>40</v>
      </c>
      <c r="C887" t="s">
        <v>32</v>
      </c>
      <c r="D887" t="s">
        <v>77</v>
      </c>
      <c r="E887" t="s">
        <v>2046</v>
      </c>
      <c r="F887">
        <v>2018</v>
      </c>
      <c r="G887" t="s">
        <v>604</v>
      </c>
      <c r="H887" t="s">
        <v>24</v>
      </c>
      <c r="I887" t="s">
        <v>85</v>
      </c>
      <c r="J887">
        <v>1.2</v>
      </c>
      <c r="K887">
        <v>19474</v>
      </c>
      <c r="L887" t="s">
        <v>68</v>
      </c>
      <c r="M887" t="s">
        <v>37</v>
      </c>
      <c r="N887" t="s">
        <v>62</v>
      </c>
      <c r="O887" t="s">
        <v>118</v>
      </c>
      <c r="P887" t="s">
        <v>38</v>
      </c>
      <c r="Q887">
        <v>8.1999999999999993</v>
      </c>
      <c r="R887">
        <v>8</v>
      </c>
    </row>
    <row r="888" spans="1:18" x14ac:dyDescent="0.3">
      <c r="A888" t="s">
        <v>2047</v>
      </c>
      <c r="B888" t="s">
        <v>19</v>
      </c>
      <c r="C888" t="s">
        <v>20</v>
      </c>
      <c r="D888" t="s">
        <v>93</v>
      </c>
      <c r="E888" t="s">
        <v>2048</v>
      </c>
      <c r="F888">
        <v>2023</v>
      </c>
      <c r="G888" t="s">
        <v>820</v>
      </c>
      <c r="H888" t="s">
        <v>35</v>
      </c>
      <c r="I888" t="s">
        <v>53</v>
      </c>
      <c r="J888">
        <v>15.3</v>
      </c>
      <c r="K888">
        <v>30585</v>
      </c>
      <c r="L888" t="s">
        <v>36</v>
      </c>
      <c r="M888" t="s">
        <v>80</v>
      </c>
      <c r="N888" t="s">
        <v>55</v>
      </c>
      <c r="O888" t="s">
        <v>29</v>
      </c>
      <c r="P888" t="s">
        <v>47</v>
      </c>
      <c r="Q888">
        <v>0.9</v>
      </c>
      <c r="R888">
        <v>3</v>
      </c>
    </row>
    <row r="889" spans="1:18" x14ac:dyDescent="0.3">
      <c r="A889" t="s">
        <v>2049</v>
      </c>
      <c r="B889" t="s">
        <v>49</v>
      </c>
      <c r="C889" t="s">
        <v>64</v>
      </c>
      <c r="D889" t="s">
        <v>82</v>
      </c>
      <c r="E889" t="s">
        <v>2050</v>
      </c>
      <c r="F889">
        <v>2019</v>
      </c>
      <c r="G889" t="s">
        <v>485</v>
      </c>
      <c r="H889" t="s">
        <v>24</v>
      </c>
      <c r="I889" t="s">
        <v>44</v>
      </c>
      <c r="J889">
        <v>5.3</v>
      </c>
      <c r="K889">
        <v>41498</v>
      </c>
      <c r="L889" t="s">
        <v>45</v>
      </c>
      <c r="M889" t="s">
        <v>37</v>
      </c>
      <c r="N889" t="s">
        <v>28</v>
      </c>
      <c r="O889" t="s">
        <v>118</v>
      </c>
      <c r="P889" t="s">
        <v>56</v>
      </c>
      <c r="Q889">
        <v>3</v>
      </c>
      <c r="R889">
        <v>7</v>
      </c>
    </row>
    <row r="890" spans="1:18" x14ac:dyDescent="0.3">
      <c r="A890" t="s">
        <v>2051</v>
      </c>
      <c r="B890" t="s">
        <v>58</v>
      </c>
      <c r="C890" t="s">
        <v>64</v>
      </c>
      <c r="D890" t="s">
        <v>21</v>
      </c>
      <c r="E890" t="s">
        <v>2052</v>
      </c>
      <c r="F890">
        <v>2018</v>
      </c>
      <c r="G890" t="s">
        <v>129</v>
      </c>
      <c r="H890" t="s">
        <v>35</v>
      </c>
      <c r="I890" t="s">
        <v>61</v>
      </c>
      <c r="J890">
        <v>15.7</v>
      </c>
      <c r="K890">
        <v>44490</v>
      </c>
      <c r="L890" t="s">
        <v>26</v>
      </c>
      <c r="M890" t="s">
        <v>54</v>
      </c>
      <c r="N890" t="s">
        <v>28</v>
      </c>
      <c r="O890" t="s">
        <v>46</v>
      </c>
      <c r="P890" t="s">
        <v>30</v>
      </c>
      <c r="Q890">
        <v>2.2999999999999998</v>
      </c>
      <c r="R890">
        <v>8</v>
      </c>
    </row>
    <row r="891" spans="1:18" x14ac:dyDescent="0.3">
      <c r="A891" t="s">
        <v>2053</v>
      </c>
      <c r="B891" t="s">
        <v>49</v>
      </c>
      <c r="C891" t="s">
        <v>20</v>
      </c>
      <c r="D891" t="s">
        <v>41</v>
      </c>
      <c r="E891" t="s">
        <v>2054</v>
      </c>
      <c r="F891">
        <v>2022</v>
      </c>
      <c r="G891" t="s">
        <v>225</v>
      </c>
      <c r="H891" t="s">
        <v>35</v>
      </c>
      <c r="I891" t="s">
        <v>61</v>
      </c>
      <c r="J891">
        <v>1.6</v>
      </c>
      <c r="K891">
        <v>18477</v>
      </c>
      <c r="L891" t="s">
        <v>68</v>
      </c>
      <c r="M891" t="s">
        <v>80</v>
      </c>
      <c r="N891" t="s">
        <v>62</v>
      </c>
      <c r="O891" t="s">
        <v>118</v>
      </c>
      <c r="P891" t="s">
        <v>74</v>
      </c>
      <c r="Q891">
        <v>7.3</v>
      </c>
      <c r="R891">
        <v>4</v>
      </c>
    </row>
    <row r="892" spans="1:18" x14ac:dyDescent="0.3">
      <c r="A892" t="s">
        <v>2055</v>
      </c>
      <c r="B892" t="s">
        <v>70</v>
      </c>
      <c r="C892" t="s">
        <v>112</v>
      </c>
      <c r="D892" t="s">
        <v>41</v>
      </c>
      <c r="E892" t="s">
        <v>2056</v>
      </c>
      <c r="F892">
        <v>2023</v>
      </c>
      <c r="G892" t="s">
        <v>695</v>
      </c>
      <c r="H892" t="s">
        <v>35</v>
      </c>
      <c r="I892" t="s">
        <v>44</v>
      </c>
      <c r="J892">
        <v>9.4</v>
      </c>
      <c r="K892">
        <v>17030</v>
      </c>
      <c r="L892" t="s">
        <v>73</v>
      </c>
      <c r="M892" t="s">
        <v>37</v>
      </c>
      <c r="N892" t="s">
        <v>62</v>
      </c>
      <c r="O892" t="s">
        <v>118</v>
      </c>
      <c r="P892" t="s">
        <v>38</v>
      </c>
      <c r="Q892">
        <v>4.5</v>
      </c>
      <c r="R892">
        <v>3</v>
      </c>
    </row>
    <row r="893" spans="1:18" x14ac:dyDescent="0.3">
      <c r="A893" t="s">
        <v>2057</v>
      </c>
      <c r="B893" t="s">
        <v>70</v>
      </c>
      <c r="C893" t="s">
        <v>64</v>
      </c>
      <c r="D893" t="s">
        <v>41</v>
      </c>
      <c r="E893" t="s">
        <v>2058</v>
      </c>
      <c r="F893">
        <v>2024</v>
      </c>
      <c r="G893" t="s">
        <v>79</v>
      </c>
      <c r="H893" t="s">
        <v>24</v>
      </c>
      <c r="I893" t="s">
        <v>53</v>
      </c>
      <c r="J893">
        <v>6.4</v>
      </c>
      <c r="K893">
        <v>28247</v>
      </c>
      <c r="L893" t="s">
        <v>101</v>
      </c>
      <c r="M893" t="s">
        <v>37</v>
      </c>
      <c r="N893" t="s">
        <v>55</v>
      </c>
      <c r="O893" t="s">
        <v>118</v>
      </c>
      <c r="P893" t="s">
        <v>74</v>
      </c>
      <c r="Q893">
        <v>0.8</v>
      </c>
      <c r="R893">
        <v>2</v>
      </c>
    </row>
    <row r="894" spans="1:18" x14ac:dyDescent="0.3">
      <c r="A894" t="s">
        <v>2059</v>
      </c>
      <c r="B894" t="s">
        <v>70</v>
      </c>
      <c r="C894" t="s">
        <v>64</v>
      </c>
      <c r="D894" t="s">
        <v>93</v>
      </c>
      <c r="E894" t="s">
        <v>2060</v>
      </c>
      <c r="F894">
        <v>2019</v>
      </c>
      <c r="G894" t="s">
        <v>139</v>
      </c>
      <c r="H894" t="s">
        <v>24</v>
      </c>
      <c r="I894" t="s">
        <v>100</v>
      </c>
      <c r="J894">
        <v>4.2</v>
      </c>
      <c r="K894">
        <v>22019</v>
      </c>
      <c r="L894" t="s">
        <v>45</v>
      </c>
      <c r="M894" t="s">
        <v>37</v>
      </c>
      <c r="N894" t="s">
        <v>28</v>
      </c>
      <c r="O894" t="s">
        <v>118</v>
      </c>
      <c r="P894" t="s">
        <v>74</v>
      </c>
      <c r="Q894">
        <v>0.8</v>
      </c>
      <c r="R894">
        <v>7</v>
      </c>
    </row>
    <row r="895" spans="1:18" x14ac:dyDescent="0.3">
      <c r="A895" t="s">
        <v>2061</v>
      </c>
      <c r="B895" t="s">
        <v>58</v>
      </c>
      <c r="C895" t="s">
        <v>112</v>
      </c>
      <c r="D895" t="s">
        <v>41</v>
      </c>
      <c r="E895" t="s">
        <v>2062</v>
      </c>
      <c r="F895">
        <v>2025</v>
      </c>
      <c r="G895" t="s">
        <v>142</v>
      </c>
      <c r="H895" t="s">
        <v>96</v>
      </c>
      <c r="I895" t="s">
        <v>61</v>
      </c>
      <c r="J895">
        <v>10.4</v>
      </c>
      <c r="K895">
        <v>39146</v>
      </c>
      <c r="L895" t="s">
        <v>101</v>
      </c>
      <c r="M895" t="s">
        <v>27</v>
      </c>
      <c r="N895" t="s">
        <v>62</v>
      </c>
      <c r="O895" t="s">
        <v>46</v>
      </c>
      <c r="P895" t="s">
        <v>30</v>
      </c>
      <c r="Q895">
        <v>8.6</v>
      </c>
      <c r="R895">
        <v>1</v>
      </c>
    </row>
    <row r="896" spans="1:18" x14ac:dyDescent="0.3">
      <c r="A896" t="s">
        <v>2063</v>
      </c>
      <c r="B896" t="s">
        <v>19</v>
      </c>
      <c r="C896" t="s">
        <v>32</v>
      </c>
      <c r="D896" t="s">
        <v>82</v>
      </c>
      <c r="E896" t="s">
        <v>2064</v>
      </c>
      <c r="F896">
        <v>2022</v>
      </c>
      <c r="G896" t="s">
        <v>413</v>
      </c>
      <c r="H896" t="s">
        <v>35</v>
      </c>
      <c r="I896" t="s">
        <v>100</v>
      </c>
      <c r="J896">
        <v>8.1999999999999993</v>
      </c>
      <c r="K896">
        <v>19141</v>
      </c>
      <c r="L896" t="s">
        <v>73</v>
      </c>
      <c r="M896" t="s">
        <v>37</v>
      </c>
      <c r="N896" t="s">
        <v>28</v>
      </c>
      <c r="O896" t="s">
        <v>118</v>
      </c>
      <c r="P896" t="s">
        <v>56</v>
      </c>
      <c r="Q896">
        <v>8.1</v>
      </c>
      <c r="R896">
        <v>4</v>
      </c>
    </row>
    <row r="897" spans="1:18" x14ac:dyDescent="0.3">
      <c r="A897" t="s">
        <v>2065</v>
      </c>
      <c r="B897" t="s">
        <v>58</v>
      </c>
      <c r="C897" t="s">
        <v>20</v>
      </c>
      <c r="D897" t="s">
        <v>65</v>
      </c>
      <c r="E897" t="s">
        <v>2066</v>
      </c>
      <c r="F897">
        <v>2019</v>
      </c>
      <c r="G897" t="s">
        <v>573</v>
      </c>
      <c r="H897" t="s">
        <v>96</v>
      </c>
      <c r="I897" t="s">
        <v>25</v>
      </c>
      <c r="J897">
        <v>4.7</v>
      </c>
      <c r="K897">
        <v>28364</v>
      </c>
      <c r="L897" t="s">
        <v>68</v>
      </c>
      <c r="M897" t="s">
        <v>80</v>
      </c>
      <c r="N897" t="s">
        <v>55</v>
      </c>
      <c r="O897" t="s">
        <v>46</v>
      </c>
      <c r="P897" t="s">
        <v>74</v>
      </c>
      <c r="Q897">
        <v>1.2</v>
      </c>
      <c r="R897">
        <v>7</v>
      </c>
    </row>
    <row r="898" spans="1:18" x14ac:dyDescent="0.3">
      <c r="A898" t="s">
        <v>2067</v>
      </c>
      <c r="B898" t="s">
        <v>58</v>
      </c>
      <c r="C898" t="s">
        <v>32</v>
      </c>
      <c r="D898" t="s">
        <v>21</v>
      </c>
      <c r="E898" t="s">
        <v>2068</v>
      </c>
      <c r="F898">
        <v>2019</v>
      </c>
      <c r="G898" t="s">
        <v>1421</v>
      </c>
      <c r="H898" t="s">
        <v>24</v>
      </c>
      <c r="I898" t="s">
        <v>85</v>
      </c>
      <c r="J898">
        <v>4.5</v>
      </c>
      <c r="K898">
        <v>9710</v>
      </c>
      <c r="L898" t="s">
        <v>45</v>
      </c>
      <c r="M898" t="s">
        <v>54</v>
      </c>
      <c r="N898" t="s">
        <v>55</v>
      </c>
      <c r="O898" t="s">
        <v>46</v>
      </c>
      <c r="P898" t="s">
        <v>74</v>
      </c>
      <c r="Q898">
        <v>6.8</v>
      </c>
      <c r="R898">
        <v>7</v>
      </c>
    </row>
    <row r="899" spans="1:18" x14ac:dyDescent="0.3">
      <c r="A899" t="s">
        <v>2069</v>
      </c>
      <c r="B899" t="s">
        <v>70</v>
      </c>
      <c r="C899" t="s">
        <v>20</v>
      </c>
      <c r="D899" t="s">
        <v>77</v>
      </c>
      <c r="E899" t="s">
        <v>2070</v>
      </c>
      <c r="F899">
        <v>2023</v>
      </c>
      <c r="G899" t="s">
        <v>129</v>
      </c>
      <c r="H899" t="s">
        <v>24</v>
      </c>
      <c r="I899" t="s">
        <v>85</v>
      </c>
      <c r="J899">
        <v>7.9</v>
      </c>
      <c r="K899">
        <v>11225</v>
      </c>
      <c r="L899" t="s">
        <v>45</v>
      </c>
      <c r="M899" t="s">
        <v>27</v>
      </c>
      <c r="N899" t="s">
        <v>62</v>
      </c>
      <c r="O899" t="s">
        <v>29</v>
      </c>
      <c r="P899" t="s">
        <v>56</v>
      </c>
      <c r="Q899">
        <v>8.8000000000000007</v>
      </c>
      <c r="R899">
        <v>3</v>
      </c>
    </row>
    <row r="900" spans="1:18" x14ac:dyDescent="0.3">
      <c r="A900" t="s">
        <v>2071</v>
      </c>
      <c r="B900" t="s">
        <v>19</v>
      </c>
      <c r="C900" t="s">
        <v>76</v>
      </c>
      <c r="D900" t="s">
        <v>77</v>
      </c>
      <c r="E900" t="s">
        <v>2072</v>
      </c>
      <c r="F900">
        <v>2014</v>
      </c>
      <c r="G900" t="s">
        <v>121</v>
      </c>
      <c r="H900" t="s">
        <v>35</v>
      </c>
      <c r="I900" t="s">
        <v>25</v>
      </c>
      <c r="J900">
        <v>16.8</v>
      </c>
      <c r="K900">
        <v>8118</v>
      </c>
      <c r="L900" t="s">
        <v>73</v>
      </c>
      <c r="M900" t="s">
        <v>80</v>
      </c>
      <c r="N900" t="s">
        <v>55</v>
      </c>
      <c r="O900" t="s">
        <v>29</v>
      </c>
      <c r="P900" t="s">
        <v>38</v>
      </c>
      <c r="Q900">
        <v>2.1</v>
      </c>
      <c r="R900">
        <v>12</v>
      </c>
    </row>
    <row r="901" spans="1:18" x14ac:dyDescent="0.3">
      <c r="A901" t="s">
        <v>2073</v>
      </c>
      <c r="B901" t="s">
        <v>49</v>
      </c>
      <c r="C901" t="s">
        <v>32</v>
      </c>
      <c r="D901" t="s">
        <v>82</v>
      </c>
      <c r="E901" t="s">
        <v>2074</v>
      </c>
      <c r="F901">
        <v>2015</v>
      </c>
      <c r="G901" t="s">
        <v>645</v>
      </c>
      <c r="H901" t="s">
        <v>96</v>
      </c>
      <c r="I901" t="s">
        <v>53</v>
      </c>
      <c r="J901">
        <v>2.7</v>
      </c>
      <c r="K901">
        <v>37999</v>
      </c>
      <c r="L901" t="s">
        <v>73</v>
      </c>
      <c r="M901" t="s">
        <v>37</v>
      </c>
      <c r="N901" t="s">
        <v>28</v>
      </c>
      <c r="O901" t="s">
        <v>118</v>
      </c>
      <c r="P901" t="s">
        <v>86</v>
      </c>
      <c r="Q901">
        <v>6.1</v>
      </c>
      <c r="R901">
        <v>11</v>
      </c>
    </row>
    <row r="902" spans="1:18" x14ac:dyDescent="0.3">
      <c r="A902" t="s">
        <v>2075</v>
      </c>
      <c r="B902" t="s">
        <v>19</v>
      </c>
      <c r="C902" t="s">
        <v>112</v>
      </c>
      <c r="D902" t="s">
        <v>65</v>
      </c>
      <c r="E902" t="s">
        <v>2076</v>
      </c>
      <c r="F902">
        <v>2023</v>
      </c>
      <c r="G902" t="s">
        <v>763</v>
      </c>
      <c r="H902" t="s">
        <v>96</v>
      </c>
      <c r="I902" t="s">
        <v>85</v>
      </c>
      <c r="J902">
        <v>16.399999999999999</v>
      </c>
      <c r="K902">
        <v>42842</v>
      </c>
      <c r="L902" t="s">
        <v>36</v>
      </c>
      <c r="M902" t="s">
        <v>27</v>
      </c>
      <c r="N902" t="s">
        <v>55</v>
      </c>
      <c r="O902" t="s">
        <v>118</v>
      </c>
      <c r="P902" t="s">
        <v>38</v>
      </c>
      <c r="Q902">
        <v>1.8</v>
      </c>
      <c r="R902">
        <v>3</v>
      </c>
    </row>
    <row r="903" spans="1:18" x14ac:dyDescent="0.3">
      <c r="A903" t="s">
        <v>2077</v>
      </c>
      <c r="B903" t="s">
        <v>49</v>
      </c>
      <c r="C903" t="s">
        <v>32</v>
      </c>
      <c r="D903" t="s">
        <v>41</v>
      </c>
      <c r="E903" t="s">
        <v>2078</v>
      </c>
      <c r="F903">
        <v>2016</v>
      </c>
      <c r="G903" t="s">
        <v>583</v>
      </c>
      <c r="H903" t="s">
        <v>24</v>
      </c>
      <c r="I903" t="s">
        <v>44</v>
      </c>
      <c r="J903">
        <v>10.9</v>
      </c>
      <c r="K903">
        <v>25740</v>
      </c>
      <c r="L903" t="s">
        <v>101</v>
      </c>
      <c r="M903" t="s">
        <v>27</v>
      </c>
      <c r="N903" t="s">
        <v>55</v>
      </c>
      <c r="O903" t="s">
        <v>118</v>
      </c>
      <c r="P903" t="s">
        <v>47</v>
      </c>
      <c r="Q903">
        <v>2.2000000000000002</v>
      </c>
      <c r="R903">
        <v>10</v>
      </c>
    </row>
    <row r="904" spans="1:18" x14ac:dyDescent="0.3">
      <c r="A904" t="s">
        <v>2079</v>
      </c>
      <c r="B904" t="s">
        <v>70</v>
      </c>
      <c r="C904" t="s">
        <v>112</v>
      </c>
      <c r="D904" t="s">
        <v>21</v>
      </c>
      <c r="E904" t="s">
        <v>2080</v>
      </c>
      <c r="F904">
        <v>2025</v>
      </c>
      <c r="G904" t="s">
        <v>230</v>
      </c>
      <c r="H904" t="s">
        <v>24</v>
      </c>
      <c r="I904" t="s">
        <v>53</v>
      </c>
      <c r="J904">
        <v>1.3</v>
      </c>
      <c r="K904">
        <v>35426</v>
      </c>
      <c r="L904" t="s">
        <v>45</v>
      </c>
      <c r="M904" t="s">
        <v>27</v>
      </c>
      <c r="N904" t="s">
        <v>55</v>
      </c>
      <c r="O904" t="s">
        <v>118</v>
      </c>
      <c r="P904" t="s">
        <v>47</v>
      </c>
      <c r="Q904">
        <v>3.5</v>
      </c>
      <c r="R904">
        <v>1</v>
      </c>
    </row>
    <row r="905" spans="1:18" x14ac:dyDescent="0.3">
      <c r="A905" t="s">
        <v>2081</v>
      </c>
      <c r="B905" t="s">
        <v>19</v>
      </c>
      <c r="C905" t="s">
        <v>64</v>
      </c>
      <c r="D905" t="s">
        <v>82</v>
      </c>
      <c r="E905" t="s">
        <v>2082</v>
      </c>
      <c r="F905">
        <v>2016</v>
      </c>
      <c r="G905" t="s">
        <v>239</v>
      </c>
      <c r="H905" t="s">
        <v>35</v>
      </c>
      <c r="I905" t="s">
        <v>100</v>
      </c>
      <c r="J905">
        <v>15.9</v>
      </c>
      <c r="K905">
        <v>22102</v>
      </c>
      <c r="L905" t="s">
        <v>26</v>
      </c>
      <c r="M905" t="s">
        <v>37</v>
      </c>
      <c r="N905" t="s">
        <v>55</v>
      </c>
      <c r="O905" t="s">
        <v>29</v>
      </c>
      <c r="P905" t="s">
        <v>30</v>
      </c>
      <c r="Q905">
        <v>3.2</v>
      </c>
      <c r="R905">
        <v>10</v>
      </c>
    </row>
    <row r="906" spans="1:18" x14ac:dyDescent="0.3">
      <c r="A906" t="s">
        <v>2083</v>
      </c>
      <c r="B906" t="s">
        <v>40</v>
      </c>
      <c r="C906" t="s">
        <v>64</v>
      </c>
      <c r="D906" t="s">
        <v>77</v>
      </c>
      <c r="E906" t="s">
        <v>2084</v>
      </c>
      <c r="F906">
        <v>2021</v>
      </c>
      <c r="G906" t="s">
        <v>225</v>
      </c>
      <c r="H906" t="s">
        <v>96</v>
      </c>
      <c r="I906" t="s">
        <v>53</v>
      </c>
      <c r="J906">
        <v>17.8</v>
      </c>
      <c r="K906">
        <v>8454</v>
      </c>
      <c r="L906" t="s">
        <v>73</v>
      </c>
      <c r="M906" t="s">
        <v>37</v>
      </c>
      <c r="N906" t="s">
        <v>28</v>
      </c>
      <c r="O906" t="s">
        <v>29</v>
      </c>
      <c r="P906" t="s">
        <v>56</v>
      </c>
      <c r="Q906">
        <v>5.7</v>
      </c>
      <c r="R906">
        <v>5</v>
      </c>
    </row>
    <row r="907" spans="1:18" x14ac:dyDescent="0.3">
      <c r="A907" t="s">
        <v>2085</v>
      </c>
      <c r="B907" t="s">
        <v>40</v>
      </c>
      <c r="C907" t="s">
        <v>112</v>
      </c>
      <c r="D907" t="s">
        <v>93</v>
      </c>
      <c r="E907" t="s">
        <v>2086</v>
      </c>
      <c r="F907">
        <v>2022</v>
      </c>
      <c r="G907" t="s">
        <v>954</v>
      </c>
      <c r="H907" t="s">
        <v>96</v>
      </c>
      <c r="I907" t="s">
        <v>100</v>
      </c>
      <c r="J907">
        <v>9.9</v>
      </c>
      <c r="K907">
        <v>14288</v>
      </c>
      <c r="L907" t="s">
        <v>26</v>
      </c>
      <c r="M907" t="s">
        <v>27</v>
      </c>
      <c r="N907" t="s">
        <v>28</v>
      </c>
      <c r="O907" t="s">
        <v>118</v>
      </c>
      <c r="P907" t="s">
        <v>56</v>
      </c>
      <c r="Q907">
        <v>3.2</v>
      </c>
      <c r="R907">
        <v>4</v>
      </c>
    </row>
    <row r="908" spans="1:18" x14ac:dyDescent="0.3">
      <c r="A908" t="s">
        <v>2087</v>
      </c>
      <c r="B908" t="s">
        <v>58</v>
      </c>
      <c r="C908" t="s">
        <v>32</v>
      </c>
      <c r="D908" t="s">
        <v>21</v>
      </c>
      <c r="E908" t="s">
        <v>2088</v>
      </c>
      <c r="F908">
        <v>2023</v>
      </c>
      <c r="G908" t="s">
        <v>79</v>
      </c>
      <c r="H908" t="s">
        <v>35</v>
      </c>
      <c r="I908" t="s">
        <v>53</v>
      </c>
      <c r="J908">
        <v>16.600000000000001</v>
      </c>
      <c r="K908">
        <v>9360</v>
      </c>
      <c r="L908" t="s">
        <v>36</v>
      </c>
      <c r="M908" t="s">
        <v>27</v>
      </c>
      <c r="N908" t="s">
        <v>55</v>
      </c>
      <c r="O908" t="s">
        <v>118</v>
      </c>
      <c r="P908" t="s">
        <v>30</v>
      </c>
      <c r="Q908">
        <v>8.6999999999999993</v>
      </c>
      <c r="R908">
        <v>3</v>
      </c>
    </row>
    <row r="909" spans="1:18" x14ac:dyDescent="0.3">
      <c r="A909" t="s">
        <v>2089</v>
      </c>
      <c r="B909" t="s">
        <v>19</v>
      </c>
      <c r="C909" t="s">
        <v>20</v>
      </c>
      <c r="D909" t="s">
        <v>50</v>
      </c>
      <c r="E909" t="s">
        <v>2090</v>
      </c>
      <c r="F909">
        <v>2018</v>
      </c>
      <c r="G909" t="s">
        <v>675</v>
      </c>
      <c r="H909" t="s">
        <v>24</v>
      </c>
      <c r="I909" t="s">
        <v>61</v>
      </c>
      <c r="J909">
        <v>13.2</v>
      </c>
      <c r="K909">
        <v>22937</v>
      </c>
      <c r="L909" t="s">
        <v>73</v>
      </c>
      <c r="M909" t="s">
        <v>37</v>
      </c>
      <c r="N909" t="s">
        <v>55</v>
      </c>
      <c r="O909" t="s">
        <v>118</v>
      </c>
      <c r="P909" t="s">
        <v>38</v>
      </c>
      <c r="Q909">
        <v>7.5</v>
      </c>
      <c r="R909">
        <v>8</v>
      </c>
    </row>
    <row r="910" spans="1:18" x14ac:dyDescent="0.3">
      <c r="A910" t="s">
        <v>2091</v>
      </c>
      <c r="B910" t="s">
        <v>19</v>
      </c>
      <c r="C910" t="s">
        <v>20</v>
      </c>
      <c r="D910" t="s">
        <v>41</v>
      </c>
      <c r="E910" t="s">
        <v>2092</v>
      </c>
      <c r="F910">
        <v>2024</v>
      </c>
      <c r="G910" t="s">
        <v>627</v>
      </c>
      <c r="H910" t="s">
        <v>24</v>
      </c>
      <c r="I910" t="s">
        <v>25</v>
      </c>
      <c r="J910">
        <v>14.4</v>
      </c>
      <c r="K910">
        <v>22309</v>
      </c>
      <c r="L910" t="s">
        <v>73</v>
      </c>
      <c r="M910" t="s">
        <v>80</v>
      </c>
      <c r="N910" t="s">
        <v>62</v>
      </c>
      <c r="O910" t="s">
        <v>46</v>
      </c>
      <c r="P910" t="s">
        <v>30</v>
      </c>
      <c r="Q910">
        <v>2.8</v>
      </c>
      <c r="R910">
        <v>2</v>
      </c>
    </row>
    <row r="911" spans="1:18" x14ac:dyDescent="0.3">
      <c r="A911" t="s">
        <v>2093</v>
      </c>
      <c r="B911" t="s">
        <v>40</v>
      </c>
      <c r="C911" t="s">
        <v>64</v>
      </c>
      <c r="D911" t="s">
        <v>77</v>
      </c>
      <c r="E911" t="s">
        <v>2094</v>
      </c>
      <c r="F911">
        <v>2023</v>
      </c>
      <c r="G911" t="s">
        <v>1705</v>
      </c>
      <c r="H911" t="s">
        <v>24</v>
      </c>
      <c r="I911" t="s">
        <v>85</v>
      </c>
      <c r="J911">
        <v>14.7</v>
      </c>
      <c r="K911">
        <v>34053</v>
      </c>
      <c r="L911" t="s">
        <v>68</v>
      </c>
      <c r="M911" t="s">
        <v>54</v>
      </c>
      <c r="N911" t="s">
        <v>28</v>
      </c>
      <c r="O911" t="s">
        <v>46</v>
      </c>
      <c r="P911" t="s">
        <v>30</v>
      </c>
      <c r="Q911">
        <v>9.5</v>
      </c>
      <c r="R911">
        <v>3</v>
      </c>
    </row>
    <row r="912" spans="1:18" x14ac:dyDescent="0.3">
      <c r="A912" t="s">
        <v>2095</v>
      </c>
      <c r="B912" t="s">
        <v>40</v>
      </c>
      <c r="C912" t="s">
        <v>112</v>
      </c>
      <c r="D912" t="s">
        <v>82</v>
      </c>
      <c r="E912" t="s">
        <v>2096</v>
      </c>
      <c r="F912">
        <v>2025</v>
      </c>
      <c r="G912" t="s">
        <v>162</v>
      </c>
      <c r="H912" t="s">
        <v>24</v>
      </c>
      <c r="I912" t="s">
        <v>100</v>
      </c>
      <c r="J912">
        <v>11.2</v>
      </c>
      <c r="K912">
        <v>13172</v>
      </c>
      <c r="L912" t="s">
        <v>26</v>
      </c>
      <c r="M912" t="s">
        <v>27</v>
      </c>
      <c r="N912" t="s">
        <v>62</v>
      </c>
      <c r="O912" t="s">
        <v>118</v>
      </c>
      <c r="P912" t="s">
        <v>74</v>
      </c>
      <c r="Q912">
        <v>4.0999999999999996</v>
      </c>
      <c r="R912">
        <v>1</v>
      </c>
    </row>
    <row r="913" spans="1:18" x14ac:dyDescent="0.3">
      <c r="A913" t="s">
        <v>2097</v>
      </c>
      <c r="B913" t="s">
        <v>70</v>
      </c>
      <c r="C913" t="s">
        <v>76</v>
      </c>
      <c r="D913" t="s">
        <v>93</v>
      </c>
      <c r="E913" t="s">
        <v>2098</v>
      </c>
      <c r="F913">
        <v>2023</v>
      </c>
      <c r="G913" t="s">
        <v>695</v>
      </c>
      <c r="H913" t="s">
        <v>35</v>
      </c>
      <c r="I913" t="s">
        <v>61</v>
      </c>
      <c r="J913">
        <v>15.9</v>
      </c>
      <c r="K913">
        <v>16697</v>
      </c>
      <c r="L913" t="s">
        <v>68</v>
      </c>
      <c r="M913" t="s">
        <v>27</v>
      </c>
      <c r="N913" t="s">
        <v>55</v>
      </c>
      <c r="O913" t="s">
        <v>46</v>
      </c>
      <c r="P913" t="s">
        <v>47</v>
      </c>
      <c r="Q913">
        <v>6.2</v>
      </c>
      <c r="R913">
        <v>3</v>
      </c>
    </row>
    <row r="914" spans="1:18" x14ac:dyDescent="0.3">
      <c r="A914" t="s">
        <v>2099</v>
      </c>
      <c r="B914" t="s">
        <v>70</v>
      </c>
      <c r="C914" t="s">
        <v>112</v>
      </c>
      <c r="D914" t="s">
        <v>21</v>
      </c>
      <c r="E914" t="s">
        <v>2100</v>
      </c>
      <c r="F914">
        <v>2022</v>
      </c>
      <c r="G914" t="s">
        <v>741</v>
      </c>
      <c r="H914" t="s">
        <v>24</v>
      </c>
      <c r="I914" t="s">
        <v>53</v>
      </c>
      <c r="J914">
        <v>7.8</v>
      </c>
      <c r="K914">
        <v>30805</v>
      </c>
      <c r="L914" t="s">
        <v>68</v>
      </c>
      <c r="M914" t="s">
        <v>54</v>
      </c>
      <c r="N914" t="s">
        <v>62</v>
      </c>
      <c r="O914" t="s">
        <v>118</v>
      </c>
      <c r="P914" t="s">
        <v>30</v>
      </c>
      <c r="Q914">
        <v>2.2000000000000002</v>
      </c>
      <c r="R914">
        <v>4</v>
      </c>
    </row>
    <row r="915" spans="1:18" x14ac:dyDescent="0.3">
      <c r="A915" t="s">
        <v>2101</v>
      </c>
      <c r="B915" t="s">
        <v>19</v>
      </c>
      <c r="C915" t="s">
        <v>20</v>
      </c>
      <c r="D915" t="s">
        <v>65</v>
      </c>
      <c r="E915" t="s">
        <v>2102</v>
      </c>
      <c r="F915">
        <v>2019</v>
      </c>
      <c r="G915" t="s">
        <v>480</v>
      </c>
      <c r="H915" t="s">
        <v>24</v>
      </c>
      <c r="I915" t="s">
        <v>61</v>
      </c>
      <c r="J915">
        <v>14</v>
      </c>
      <c r="K915">
        <v>33202</v>
      </c>
      <c r="L915" t="s">
        <v>36</v>
      </c>
      <c r="M915" t="s">
        <v>27</v>
      </c>
      <c r="N915" t="s">
        <v>62</v>
      </c>
      <c r="O915" t="s">
        <v>29</v>
      </c>
      <c r="P915" t="s">
        <v>30</v>
      </c>
      <c r="Q915">
        <v>3.3</v>
      </c>
      <c r="R915">
        <v>7</v>
      </c>
    </row>
    <row r="916" spans="1:18" x14ac:dyDescent="0.3">
      <c r="A916" t="s">
        <v>2103</v>
      </c>
      <c r="B916" t="s">
        <v>58</v>
      </c>
      <c r="C916" t="s">
        <v>112</v>
      </c>
      <c r="D916" t="s">
        <v>93</v>
      </c>
      <c r="E916" t="s">
        <v>2104</v>
      </c>
      <c r="F916">
        <v>2022</v>
      </c>
      <c r="G916" t="s">
        <v>305</v>
      </c>
      <c r="H916" t="s">
        <v>35</v>
      </c>
      <c r="I916" t="s">
        <v>53</v>
      </c>
      <c r="J916">
        <v>12.3</v>
      </c>
      <c r="K916">
        <v>28450</v>
      </c>
      <c r="L916" t="s">
        <v>36</v>
      </c>
      <c r="M916" t="s">
        <v>27</v>
      </c>
      <c r="N916" t="s">
        <v>55</v>
      </c>
      <c r="O916" t="s">
        <v>118</v>
      </c>
      <c r="P916" t="s">
        <v>86</v>
      </c>
      <c r="Q916">
        <v>9.1999999999999993</v>
      </c>
      <c r="R916">
        <v>4</v>
      </c>
    </row>
    <row r="917" spans="1:18" x14ac:dyDescent="0.3">
      <c r="A917" t="s">
        <v>2105</v>
      </c>
      <c r="B917" t="s">
        <v>40</v>
      </c>
      <c r="C917" t="s">
        <v>20</v>
      </c>
      <c r="D917" t="s">
        <v>65</v>
      </c>
      <c r="E917" t="s">
        <v>2106</v>
      </c>
      <c r="F917">
        <v>2018</v>
      </c>
      <c r="G917" t="s">
        <v>1265</v>
      </c>
      <c r="H917" t="s">
        <v>35</v>
      </c>
      <c r="I917" t="s">
        <v>53</v>
      </c>
      <c r="J917">
        <v>8.3000000000000007</v>
      </c>
      <c r="K917">
        <v>16003</v>
      </c>
      <c r="L917" t="s">
        <v>45</v>
      </c>
      <c r="M917" t="s">
        <v>54</v>
      </c>
      <c r="N917" t="s">
        <v>62</v>
      </c>
      <c r="O917" t="s">
        <v>29</v>
      </c>
      <c r="P917" t="s">
        <v>38</v>
      </c>
      <c r="Q917">
        <v>1.5</v>
      </c>
      <c r="R917">
        <v>8</v>
      </c>
    </row>
    <row r="918" spans="1:18" x14ac:dyDescent="0.3">
      <c r="A918" t="s">
        <v>2107</v>
      </c>
      <c r="B918" t="s">
        <v>70</v>
      </c>
      <c r="C918" t="s">
        <v>64</v>
      </c>
      <c r="D918" t="s">
        <v>93</v>
      </c>
      <c r="E918" t="s">
        <v>2108</v>
      </c>
      <c r="F918">
        <v>2023</v>
      </c>
      <c r="G918" t="s">
        <v>632</v>
      </c>
      <c r="H918" t="s">
        <v>35</v>
      </c>
      <c r="I918" t="s">
        <v>25</v>
      </c>
      <c r="J918">
        <v>0.9</v>
      </c>
      <c r="K918">
        <v>26350</v>
      </c>
      <c r="L918" t="s">
        <v>26</v>
      </c>
      <c r="M918" t="s">
        <v>37</v>
      </c>
      <c r="N918" t="s">
        <v>55</v>
      </c>
      <c r="O918" t="s">
        <v>46</v>
      </c>
      <c r="P918" t="s">
        <v>30</v>
      </c>
      <c r="Q918">
        <v>6.7</v>
      </c>
      <c r="R918">
        <v>3</v>
      </c>
    </row>
    <row r="919" spans="1:18" x14ac:dyDescent="0.3">
      <c r="A919" t="s">
        <v>2109</v>
      </c>
      <c r="B919" t="s">
        <v>70</v>
      </c>
      <c r="C919" t="s">
        <v>32</v>
      </c>
      <c r="D919" t="s">
        <v>21</v>
      </c>
      <c r="E919" t="s">
        <v>2110</v>
      </c>
      <c r="F919">
        <v>2022</v>
      </c>
      <c r="G919" t="s">
        <v>310</v>
      </c>
      <c r="H919" t="s">
        <v>96</v>
      </c>
      <c r="I919" t="s">
        <v>100</v>
      </c>
      <c r="J919">
        <v>7.4</v>
      </c>
      <c r="K919">
        <v>16529</v>
      </c>
      <c r="L919" t="s">
        <v>68</v>
      </c>
      <c r="M919" t="s">
        <v>54</v>
      </c>
      <c r="N919" t="s">
        <v>55</v>
      </c>
      <c r="O919" t="s">
        <v>118</v>
      </c>
      <c r="P919" t="s">
        <v>47</v>
      </c>
      <c r="Q919">
        <v>2.5</v>
      </c>
      <c r="R919">
        <v>4</v>
      </c>
    </row>
    <row r="920" spans="1:18" x14ac:dyDescent="0.3">
      <c r="A920" t="s">
        <v>2111</v>
      </c>
      <c r="B920" t="s">
        <v>19</v>
      </c>
      <c r="C920" t="s">
        <v>112</v>
      </c>
      <c r="D920" t="s">
        <v>50</v>
      </c>
      <c r="E920" t="s">
        <v>2112</v>
      </c>
      <c r="F920">
        <v>2025</v>
      </c>
      <c r="G920" t="s">
        <v>174</v>
      </c>
      <c r="H920" t="s">
        <v>24</v>
      </c>
      <c r="I920" t="s">
        <v>100</v>
      </c>
      <c r="J920">
        <v>2.2999999999999998</v>
      </c>
      <c r="K920">
        <v>27579</v>
      </c>
      <c r="L920" t="s">
        <v>36</v>
      </c>
      <c r="M920" t="s">
        <v>80</v>
      </c>
      <c r="N920" t="s">
        <v>28</v>
      </c>
      <c r="O920" t="s">
        <v>118</v>
      </c>
      <c r="P920" t="s">
        <v>86</v>
      </c>
      <c r="Q920">
        <v>0.7</v>
      </c>
      <c r="R920">
        <v>1</v>
      </c>
    </row>
    <row r="921" spans="1:18" x14ac:dyDescent="0.3">
      <c r="A921" t="s">
        <v>2113</v>
      </c>
      <c r="B921" t="s">
        <v>40</v>
      </c>
      <c r="C921" t="s">
        <v>112</v>
      </c>
      <c r="D921" t="s">
        <v>77</v>
      </c>
      <c r="E921" t="s">
        <v>2114</v>
      </c>
      <c r="F921">
        <v>2024</v>
      </c>
      <c r="G921" t="s">
        <v>1049</v>
      </c>
      <c r="H921" t="s">
        <v>35</v>
      </c>
      <c r="I921" t="s">
        <v>85</v>
      </c>
      <c r="J921">
        <v>12</v>
      </c>
      <c r="K921">
        <v>10097</v>
      </c>
      <c r="L921" t="s">
        <v>101</v>
      </c>
      <c r="M921" t="s">
        <v>37</v>
      </c>
      <c r="N921" t="s">
        <v>28</v>
      </c>
      <c r="O921" t="s">
        <v>29</v>
      </c>
      <c r="P921" t="s">
        <v>30</v>
      </c>
      <c r="Q921">
        <v>5.3</v>
      </c>
      <c r="R921">
        <v>2</v>
      </c>
    </row>
    <row r="922" spans="1:18" x14ac:dyDescent="0.3">
      <c r="A922" t="s">
        <v>2115</v>
      </c>
      <c r="B922" t="s">
        <v>58</v>
      </c>
      <c r="C922" t="s">
        <v>112</v>
      </c>
      <c r="D922" t="s">
        <v>41</v>
      </c>
      <c r="E922" t="s">
        <v>2116</v>
      </c>
      <c r="F922">
        <v>2025</v>
      </c>
      <c r="G922" t="s">
        <v>1410</v>
      </c>
      <c r="H922" t="s">
        <v>35</v>
      </c>
      <c r="I922" t="s">
        <v>100</v>
      </c>
      <c r="J922">
        <v>11.1</v>
      </c>
      <c r="K922">
        <v>11451</v>
      </c>
      <c r="L922" t="s">
        <v>26</v>
      </c>
      <c r="M922" t="s">
        <v>27</v>
      </c>
      <c r="N922" t="s">
        <v>28</v>
      </c>
      <c r="O922" t="s">
        <v>46</v>
      </c>
      <c r="P922" t="s">
        <v>86</v>
      </c>
      <c r="Q922">
        <v>8</v>
      </c>
      <c r="R922">
        <v>1</v>
      </c>
    </row>
    <row r="923" spans="1:18" x14ac:dyDescent="0.3">
      <c r="A923" t="s">
        <v>2117</v>
      </c>
      <c r="B923" t="s">
        <v>19</v>
      </c>
      <c r="C923" t="s">
        <v>20</v>
      </c>
      <c r="D923" t="s">
        <v>77</v>
      </c>
      <c r="E923" t="s">
        <v>2118</v>
      </c>
      <c r="F923">
        <v>2020</v>
      </c>
      <c r="G923" t="s">
        <v>455</v>
      </c>
      <c r="H923" t="s">
        <v>24</v>
      </c>
      <c r="I923" t="s">
        <v>44</v>
      </c>
      <c r="J923">
        <v>5.0999999999999996</v>
      </c>
      <c r="K923">
        <v>44494</v>
      </c>
      <c r="L923" t="s">
        <v>45</v>
      </c>
      <c r="M923" t="s">
        <v>27</v>
      </c>
      <c r="N923" t="s">
        <v>55</v>
      </c>
      <c r="O923" t="s">
        <v>118</v>
      </c>
      <c r="P923" t="s">
        <v>47</v>
      </c>
      <c r="Q923">
        <v>1.4</v>
      </c>
      <c r="R923">
        <v>6</v>
      </c>
    </row>
    <row r="924" spans="1:18" x14ac:dyDescent="0.3">
      <c r="A924" t="s">
        <v>2119</v>
      </c>
      <c r="B924" t="s">
        <v>70</v>
      </c>
      <c r="C924" t="s">
        <v>76</v>
      </c>
      <c r="D924" t="s">
        <v>77</v>
      </c>
      <c r="E924" t="s">
        <v>2120</v>
      </c>
      <c r="F924">
        <v>2020</v>
      </c>
      <c r="G924" t="s">
        <v>622</v>
      </c>
      <c r="H924" t="s">
        <v>96</v>
      </c>
      <c r="I924" t="s">
        <v>100</v>
      </c>
      <c r="J924">
        <v>9.4</v>
      </c>
      <c r="K924">
        <v>26561</v>
      </c>
      <c r="L924" t="s">
        <v>26</v>
      </c>
      <c r="M924" t="s">
        <v>27</v>
      </c>
      <c r="N924" t="s">
        <v>62</v>
      </c>
      <c r="O924" t="s">
        <v>118</v>
      </c>
      <c r="P924" t="s">
        <v>86</v>
      </c>
      <c r="Q924">
        <v>7.7</v>
      </c>
      <c r="R924">
        <v>6</v>
      </c>
    </row>
    <row r="925" spans="1:18" x14ac:dyDescent="0.3">
      <c r="A925" t="s">
        <v>2121</v>
      </c>
      <c r="B925" t="s">
        <v>58</v>
      </c>
      <c r="C925" t="s">
        <v>64</v>
      </c>
      <c r="D925" t="s">
        <v>93</v>
      </c>
      <c r="E925" t="s">
        <v>2122</v>
      </c>
      <c r="F925">
        <v>2025</v>
      </c>
      <c r="G925" t="s">
        <v>763</v>
      </c>
      <c r="H925" t="s">
        <v>96</v>
      </c>
      <c r="I925" t="s">
        <v>85</v>
      </c>
      <c r="J925">
        <v>14</v>
      </c>
      <c r="K925">
        <v>30800</v>
      </c>
      <c r="L925" t="s">
        <v>68</v>
      </c>
      <c r="M925" t="s">
        <v>27</v>
      </c>
      <c r="N925" t="s">
        <v>62</v>
      </c>
      <c r="O925" t="s">
        <v>29</v>
      </c>
      <c r="P925" t="s">
        <v>38</v>
      </c>
      <c r="Q925">
        <v>3.5</v>
      </c>
      <c r="R925">
        <v>1</v>
      </c>
    </row>
    <row r="926" spans="1:18" x14ac:dyDescent="0.3">
      <c r="A926" t="s">
        <v>2123</v>
      </c>
      <c r="B926" t="s">
        <v>19</v>
      </c>
      <c r="C926" t="s">
        <v>112</v>
      </c>
      <c r="D926" t="s">
        <v>93</v>
      </c>
      <c r="E926" t="s">
        <v>2124</v>
      </c>
      <c r="F926">
        <v>2016</v>
      </c>
      <c r="G926" t="s">
        <v>1161</v>
      </c>
      <c r="H926" t="s">
        <v>24</v>
      </c>
      <c r="I926" t="s">
        <v>85</v>
      </c>
      <c r="J926">
        <v>10.9</v>
      </c>
      <c r="K926">
        <v>6997</v>
      </c>
      <c r="L926" t="s">
        <v>73</v>
      </c>
      <c r="M926" t="s">
        <v>27</v>
      </c>
      <c r="N926" t="s">
        <v>62</v>
      </c>
      <c r="O926" t="s">
        <v>118</v>
      </c>
      <c r="P926" t="s">
        <v>74</v>
      </c>
      <c r="Q926">
        <v>7.4</v>
      </c>
      <c r="R926">
        <v>10</v>
      </c>
    </row>
    <row r="927" spans="1:18" x14ac:dyDescent="0.3">
      <c r="A927" t="s">
        <v>2125</v>
      </c>
      <c r="B927" t="s">
        <v>40</v>
      </c>
      <c r="C927" t="s">
        <v>112</v>
      </c>
      <c r="D927" t="s">
        <v>50</v>
      </c>
      <c r="E927" t="s">
        <v>2126</v>
      </c>
      <c r="F927">
        <v>2023</v>
      </c>
      <c r="G927" t="s">
        <v>360</v>
      </c>
      <c r="H927" t="s">
        <v>24</v>
      </c>
      <c r="I927" t="s">
        <v>85</v>
      </c>
      <c r="J927">
        <v>6</v>
      </c>
      <c r="K927">
        <v>23642</v>
      </c>
      <c r="L927" t="s">
        <v>73</v>
      </c>
      <c r="M927" t="s">
        <v>80</v>
      </c>
      <c r="N927" t="s">
        <v>55</v>
      </c>
      <c r="O927" t="s">
        <v>46</v>
      </c>
      <c r="P927" t="s">
        <v>74</v>
      </c>
      <c r="Q927">
        <v>6.2</v>
      </c>
      <c r="R927">
        <v>3</v>
      </c>
    </row>
    <row r="928" spans="1:18" x14ac:dyDescent="0.3">
      <c r="A928" t="s">
        <v>2127</v>
      </c>
      <c r="B928" t="s">
        <v>40</v>
      </c>
      <c r="C928" t="s">
        <v>32</v>
      </c>
      <c r="D928" t="s">
        <v>50</v>
      </c>
      <c r="E928" t="s">
        <v>2128</v>
      </c>
      <c r="F928">
        <v>2014</v>
      </c>
      <c r="G928" t="s">
        <v>1837</v>
      </c>
      <c r="H928" t="s">
        <v>24</v>
      </c>
      <c r="I928" t="s">
        <v>85</v>
      </c>
      <c r="J928">
        <v>6</v>
      </c>
      <c r="K928">
        <v>44230</v>
      </c>
      <c r="L928" t="s">
        <v>73</v>
      </c>
      <c r="M928" t="s">
        <v>37</v>
      </c>
      <c r="N928" t="s">
        <v>55</v>
      </c>
      <c r="O928" t="s">
        <v>46</v>
      </c>
      <c r="P928" t="s">
        <v>47</v>
      </c>
      <c r="Q928">
        <v>5.4</v>
      </c>
      <c r="R928">
        <v>12</v>
      </c>
    </row>
    <row r="929" spans="1:18" x14ac:dyDescent="0.3">
      <c r="A929" t="s">
        <v>2129</v>
      </c>
      <c r="B929" t="s">
        <v>19</v>
      </c>
      <c r="C929" t="s">
        <v>112</v>
      </c>
      <c r="D929" t="s">
        <v>82</v>
      </c>
      <c r="E929" t="s">
        <v>2130</v>
      </c>
      <c r="F929">
        <v>2025</v>
      </c>
      <c r="G929" t="s">
        <v>675</v>
      </c>
      <c r="H929" t="s">
        <v>35</v>
      </c>
      <c r="I929" t="s">
        <v>85</v>
      </c>
      <c r="J929">
        <v>2.7</v>
      </c>
      <c r="K929">
        <v>2392</v>
      </c>
      <c r="L929" t="s">
        <v>73</v>
      </c>
      <c r="M929" t="s">
        <v>80</v>
      </c>
      <c r="N929" t="s">
        <v>28</v>
      </c>
      <c r="O929" t="s">
        <v>29</v>
      </c>
      <c r="P929" t="s">
        <v>47</v>
      </c>
      <c r="Q929">
        <v>8.8000000000000007</v>
      </c>
      <c r="R929">
        <v>1</v>
      </c>
    </row>
    <row r="930" spans="1:18" x14ac:dyDescent="0.3">
      <c r="A930" t="s">
        <v>2131</v>
      </c>
      <c r="B930" t="s">
        <v>58</v>
      </c>
      <c r="C930" t="s">
        <v>76</v>
      </c>
      <c r="D930" t="s">
        <v>21</v>
      </c>
      <c r="E930" t="s">
        <v>2132</v>
      </c>
      <c r="F930">
        <v>2015</v>
      </c>
      <c r="G930" t="s">
        <v>496</v>
      </c>
      <c r="H930" t="s">
        <v>35</v>
      </c>
      <c r="I930" t="s">
        <v>100</v>
      </c>
      <c r="J930">
        <v>9</v>
      </c>
      <c r="K930">
        <v>37353</v>
      </c>
      <c r="L930" t="s">
        <v>36</v>
      </c>
      <c r="M930" t="s">
        <v>27</v>
      </c>
      <c r="N930" t="s">
        <v>28</v>
      </c>
      <c r="O930" t="s">
        <v>118</v>
      </c>
      <c r="P930" t="s">
        <v>30</v>
      </c>
      <c r="Q930">
        <v>4.5999999999999996</v>
      </c>
      <c r="R930">
        <v>11</v>
      </c>
    </row>
    <row r="931" spans="1:18" x14ac:dyDescent="0.3">
      <c r="A931" t="s">
        <v>2133</v>
      </c>
      <c r="B931" t="s">
        <v>70</v>
      </c>
      <c r="C931" t="s">
        <v>32</v>
      </c>
      <c r="D931" t="s">
        <v>77</v>
      </c>
      <c r="E931" t="s">
        <v>2134</v>
      </c>
      <c r="F931">
        <v>2018</v>
      </c>
      <c r="G931" t="s">
        <v>447</v>
      </c>
      <c r="H931" t="s">
        <v>35</v>
      </c>
      <c r="I931" t="s">
        <v>53</v>
      </c>
      <c r="J931">
        <v>10.4</v>
      </c>
      <c r="K931">
        <v>12375</v>
      </c>
      <c r="L931" t="s">
        <v>73</v>
      </c>
      <c r="M931" t="s">
        <v>37</v>
      </c>
      <c r="N931" t="s">
        <v>62</v>
      </c>
      <c r="O931" t="s">
        <v>46</v>
      </c>
      <c r="P931" t="s">
        <v>56</v>
      </c>
      <c r="Q931">
        <v>8.1</v>
      </c>
      <c r="R931">
        <v>8</v>
      </c>
    </row>
    <row r="932" spans="1:18" x14ac:dyDescent="0.3">
      <c r="A932" t="s">
        <v>2135</v>
      </c>
      <c r="B932" t="s">
        <v>49</v>
      </c>
      <c r="C932" t="s">
        <v>32</v>
      </c>
      <c r="D932" t="s">
        <v>77</v>
      </c>
      <c r="E932" t="s">
        <v>2136</v>
      </c>
      <c r="F932">
        <v>2025</v>
      </c>
      <c r="G932" t="s">
        <v>370</v>
      </c>
      <c r="H932" t="s">
        <v>24</v>
      </c>
      <c r="I932" t="s">
        <v>61</v>
      </c>
      <c r="J932">
        <v>16.899999999999999</v>
      </c>
      <c r="K932">
        <v>10369</v>
      </c>
      <c r="L932" t="s">
        <v>73</v>
      </c>
      <c r="M932" t="s">
        <v>27</v>
      </c>
      <c r="N932" t="s">
        <v>28</v>
      </c>
      <c r="O932" t="s">
        <v>118</v>
      </c>
      <c r="P932" t="s">
        <v>47</v>
      </c>
      <c r="Q932">
        <v>2.2000000000000002</v>
      </c>
      <c r="R932">
        <v>1</v>
      </c>
    </row>
    <row r="933" spans="1:18" x14ac:dyDescent="0.3">
      <c r="A933" t="s">
        <v>2137</v>
      </c>
      <c r="B933" t="s">
        <v>19</v>
      </c>
      <c r="C933" t="s">
        <v>20</v>
      </c>
      <c r="D933" t="s">
        <v>65</v>
      </c>
      <c r="E933" t="s">
        <v>2138</v>
      </c>
      <c r="F933">
        <v>2021</v>
      </c>
      <c r="G933" t="s">
        <v>107</v>
      </c>
      <c r="H933" t="s">
        <v>24</v>
      </c>
      <c r="I933" t="s">
        <v>25</v>
      </c>
      <c r="J933">
        <v>2.1</v>
      </c>
      <c r="K933">
        <v>31554</v>
      </c>
      <c r="L933" t="s">
        <v>68</v>
      </c>
      <c r="M933" t="s">
        <v>80</v>
      </c>
      <c r="N933" t="s">
        <v>28</v>
      </c>
      <c r="O933" t="s">
        <v>46</v>
      </c>
      <c r="P933" t="s">
        <v>47</v>
      </c>
      <c r="Q933">
        <v>6.1</v>
      </c>
      <c r="R933">
        <v>5</v>
      </c>
    </row>
    <row r="934" spans="1:18" x14ac:dyDescent="0.3">
      <c r="A934" t="s">
        <v>2139</v>
      </c>
      <c r="B934" t="s">
        <v>49</v>
      </c>
      <c r="C934" t="s">
        <v>64</v>
      </c>
      <c r="D934" t="s">
        <v>77</v>
      </c>
      <c r="E934" t="s">
        <v>2140</v>
      </c>
      <c r="F934">
        <v>2015</v>
      </c>
      <c r="G934" t="s">
        <v>357</v>
      </c>
      <c r="H934" t="s">
        <v>35</v>
      </c>
      <c r="I934" t="s">
        <v>61</v>
      </c>
      <c r="J934">
        <v>5.3</v>
      </c>
      <c r="K934">
        <v>29429</v>
      </c>
      <c r="L934" t="s">
        <v>45</v>
      </c>
      <c r="M934" t="s">
        <v>37</v>
      </c>
      <c r="N934" t="s">
        <v>55</v>
      </c>
      <c r="O934" t="s">
        <v>46</v>
      </c>
      <c r="P934" t="s">
        <v>47</v>
      </c>
      <c r="Q934">
        <v>9.4</v>
      </c>
      <c r="R934">
        <v>11</v>
      </c>
    </row>
    <row r="935" spans="1:18" x14ac:dyDescent="0.3">
      <c r="A935" t="s">
        <v>2141</v>
      </c>
      <c r="B935" t="s">
        <v>40</v>
      </c>
      <c r="C935" t="s">
        <v>112</v>
      </c>
      <c r="D935" t="s">
        <v>93</v>
      </c>
      <c r="E935" t="s">
        <v>2142</v>
      </c>
      <c r="F935">
        <v>2022</v>
      </c>
      <c r="G935" t="s">
        <v>744</v>
      </c>
      <c r="H935" t="s">
        <v>24</v>
      </c>
      <c r="I935" t="s">
        <v>25</v>
      </c>
      <c r="J935">
        <v>4.3</v>
      </c>
      <c r="K935">
        <v>13186</v>
      </c>
      <c r="L935" t="s">
        <v>68</v>
      </c>
      <c r="M935" t="s">
        <v>80</v>
      </c>
      <c r="N935" t="s">
        <v>28</v>
      </c>
      <c r="O935" t="s">
        <v>46</v>
      </c>
      <c r="P935" t="s">
        <v>74</v>
      </c>
      <c r="Q935">
        <v>6.6</v>
      </c>
      <c r="R935">
        <v>4</v>
      </c>
    </row>
    <row r="936" spans="1:18" x14ac:dyDescent="0.3">
      <c r="A936" t="s">
        <v>2143</v>
      </c>
      <c r="B936" t="s">
        <v>49</v>
      </c>
      <c r="C936" t="s">
        <v>32</v>
      </c>
      <c r="D936" t="s">
        <v>93</v>
      </c>
      <c r="E936" t="s">
        <v>2144</v>
      </c>
      <c r="F936">
        <v>2020</v>
      </c>
      <c r="G936" t="s">
        <v>269</v>
      </c>
      <c r="H936" t="s">
        <v>24</v>
      </c>
      <c r="I936" t="s">
        <v>25</v>
      </c>
      <c r="J936">
        <v>15.7</v>
      </c>
      <c r="K936">
        <v>32525</v>
      </c>
      <c r="L936" t="s">
        <v>73</v>
      </c>
      <c r="M936" t="s">
        <v>54</v>
      </c>
      <c r="N936" t="s">
        <v>28</v>
      </c>
      <c r="O936" t="s">
        <v>29</v>
      </c>
      <c r="P936" t="s">
        <v>56</v>
      </c>
      <c r="Q936">
        <v>1.4</v>
      </c>
      <c r="R936">
        <v>6</v>
      </c>
    </row>
    <row r="937" spans="1:18" x14ac:dyDescent="0.3">
      <c r="A937" t="s">
        <v>2145</v>
      </c>
      <c r="B937" t="s">
        <v>40</v>
      </c>
      <c r="C937" t="s">
        <v>64</v>
      </c>
      <c r="D937" t="s">
        <v>82</v>
      </c>
      <c r="E937" t="s">
        <v>2146</v>
      </c>
      <c r="F937">
        <v>2023</v>
      </c>
      <c r="G937" t="s">
        <v>168</v>
      </c>
      <c r="H937" t="s">
        <v>96</v>
      </c>
      <c r="I937" t="s">
        <v>53</v>
      </c>
      <c r="J937">
        <v>1.9</v>
      </c>
      <c r="K937">
        <v>4920</v>
      </c>
      <c r="L937" t="s">
        <v>73</v>
      </c>
      <c r="M937" t="s">
        <v>27</v>
      </c>
      <c r="N937" t="s">
        <v>55</v>
      </c>
      <c r="O937" t="s">
        <v>46</v>
      </c>
      <c r="P937" t="s">
        <v>47</v>
      </c>
      <c r="Q937">
        <v>3.6</v>
      </c>
      <c r="R937">
        <v>3</v>
      </c>
    </row>
    <row r="938" spans="1:18" x14ac:dyDescent="0.3">
      <c r="A938" t="s">
        <v>2147</v>
      </c>
      <c r="B938" t="s">
        <v>19</v>
      </c>
      <c r="C938" t="s">
        <v>64</v>
      </c>
      <c r="D938" t="s">
        <v>93</v>
      </c>
      <c r="E938" t="s">
        <v>2148</v>
      </c>
      <c r="F938">
        <v>2022</v>
      </c>
      <c r="G938" t="s">
        <v>360</v>
      </c>
      <c r="H938" t="s">
        <v>24</v>
      </c>
      <c r="I938" t="s">
        <v>85</v>
      </c>
      <c r="J938">
        <v>12.9</v>
      </c>
      <c r="K938">
        <v>24764</v>
      </c>
      <c r="L938" t="s">
        <v>68</v>
      </c>
      <c r="M938" t="s">
        <v>37</v>
      </c>
      <c r="N938" t="s">
        <v>62</v>
      </c>
      <c r="O938" t="s">
        <v>29</v>
      </c>
      <c r="P938" t="s">
        <v>74</v>
      </c>
      <c r="Q938">
        <v>8.5</v>
      </c>
      <c r="R938">
        <v>4</v>
      </c>
    </row>
    <row r="939" spans="1:18" x14ac:dyDescent="0.3">
      <c r="A939" t="s">
        <v>2149</v>
      </c>
      <c r="B939" t="s">
        <v>70</v>
      </c>
      <c r="C939" t="s">
        <v>64</v>
      </c>
      <c r="D939" t="s">
        <v>50</v>
      </c>
      <c r="E939" t="s">
        <v>2150</v>
      </c>
      <c r="F939">
        <v>2016</v>
      </c>
      <c r="G939" t="s">
        <v>287</v>
      </c>
      <c r="H939" t="s">
        <v>24</v>
      </c>
      <c r="I939" t="s">
        <v>85</v>
      </c>
      <c r="J939">
        <v>9.1</v>
      </c>
      <c r="K939">
        <v>17919</v>
      </c>
      <c r="L939" t="s">
        <v>101</v>
      </c>
      <c r="M939" t="s">
        <v>80</v>
      </c>
      <c r="N939" t="s">
        <v>62</v>
      </c>
      <c r="O939" t="s">
        <v>118</v>
      </c>
      <c r="P939" t="s">
        <v>38</v>
      </c>
      <c r="Q939">
        <v>3.8</v>
      </c>
      <c r="R939">
        <v>10</v>
      </c>
    </row>
    <row r="940" spans="1:18" x14ac:dyDescent="0.3">
      <c r="A940" t="s">
        <v>2151</v>
      </c>
      <c r="B940" t="s">
        <v>58</v>
      </c>
      <c r="C940" t="s">
        <v>20</v>
      </c>
      <c r="D940" t="s">
        <v>65</v>
      </c>
      <c r="E940" t="s">
        <v>2152</v>
      </c>
      <c r="F940">
        <v>2014</v>
      </c>
      <c r="G940" t="s">
        <v>424</v>
      </c>
      <c r="H940" t="s">
        <v>24</v>
      </c>
      <c r="I940" t="s">
        <v>100</v>
      </c>
      <c r="J940">
        <v>10.3</v>
      </c>
      <c r="K940">
        <v>14016</v>
      </c>
      <c r="L940" t="s">
        <v>36</v>
      </c>
      <c r="M940" t="s">
        <v>37</v>
      </c>
      <c r="N940" t="s">
        <v>28</v>
      </c>
      <c r="O940" t="s">
        <v>46</v>
      </c>
      <c r="P940" t="s">
        <v>30</v>
      </c>
      <c r="Q940">
        <v>2.4</v>
      </c>
      <c r="R940">
        <v>12</v>
      </c>
    </row>
    <row r="941" spans="1:18" x14ac:dyDescent="0.3">
      <c r="A941" t="s">
        <v>2153</v>
      </c>
      <c r="B941" t="s">
        <v>40</v>
      </c>
      <c r="C941" t="s">
        <v>112</v>
      </c>
      <c r="D941" t="s">
        <v>93</v>
      </c>
      <c r="E941" t="s">
        <v>2154</v>
      </c>
      <c r="F941">
        <v>2019</v>
      </c>
      <c r="G941" t="s">
        <v>994</v>
      </c>
      <c r="H941" t="s">
        <v>24</v>
      </c>
      <c r="I941" t="s">
        <v>44</v>
      </c>
      <c r="J941">
        <v>16.399999999999999</v>
      </c>
      <c r="K941">
        <v>18130</v>
      </c>
      <c r="L941" t="s">
        <v>45</v>
      </c>
      <c r="M941" t="s">
        <v>80</v>
      </c>
      <c r="N941" t="s">
        <v>62</v>
      </c>
      <c r="O941" t="s">
        <v>118</v>
      </c>
      <c r="P941" t="s">
        <v>30</v>
      </c>
      <c r="Q941">
        <v>6.6</v>
      </c>
      <c r="R941">
        <v>7</v>
      </c>
    </row>
    <row r="942" spans="1:18" x14ac:dyDescent="0.3">
      <c r="A942" t="s">
        <v>2155</v>
      </c>
      <c r="B942" t="s">
        <v>58</v>
      </c>
      <c r="C942" t="s">
        <v>112</v>
      </c>
      <c r="D942" t="s">
        <v>65</v>
      </c>
      <c r="E942" t="s">
        <v>2156</v>
      </c>
      <c r="F942">
        <v>2024</v>
      </c>
      <c r="G942" t="s">
        <v>485</v>
      </c>
      <c r="H942" t="s">
        <v>35</v>
      </c>
      <c r="I942" t="s">
        <v>53</v>
      </c>
      <c r="J942">
        <v>11.4</v>
      </c>
      <c r="K942">
        <v>38998</v>
      </c>
      <c r="L942" t="s">
        <v>26</v>
      </c>
      <c r="M942" t="s">
        <v>27</v>
      </c>
      <c r="N942" t="s">
        <v>62</v>
      </c>
      <c r="O942" t="s">
        <v>46</v>
      </c>
      <c r="P942" t="s">
        <v>47</v>
      </c>
      <c r="Q942">
        <v>5.2</v>
      </c>
      <c r="R942">
        <v>2</v>
      </c>
    </row>
    <row r="943" spans="1:18" x14ac:dyDescent="0.3">
      <c r="A943" t="s">
        <v>2157</v>
      </c>
      <c r="B943" t="s">
        <v>49</v>
      </c>
      <c r="C943" t="s">
        <v>112</v>
      </c>
      <c r="D943" t="s">
        <v>41</v>
      </c>
      <c r="E943" t="s">
        <v>2158</v>
      </c>
      <c r="F943">
        <v>2021</v>
      </c>
      <c r="G943" t="s">
        <v>162</v>
      </c>
      <c r="H943" t="s">
        <v>24</v>
      </c>
      <c r="I943" t="s">
        <v>100</v>
      </c>
      <c r="J943">
        <v>16.100000000000001</v>
      </c>
      <c r="K943">
        <v>11539</v>
      </c>
      <c r="L943" t="s">
        <v>101</v>
      </c>
      <c r="M943" t="s">
        <v>54</v>
      </c>
      <c r="N943" t="s">
        <v>28</v>
      </c>
      <c r="O943" t="s">
        <v>29</v>
      </c>
      <c r="P943" t="s">
        <v>47</v>
      </c>
      <c r="Q943">
        <v>8.4</v>
      </c>
      <c r="R943">
        <v>5</v>
      </c>
    </row>
    <row r="944" spans="1:18" x14ac:dyDescent="0.3">
      <c r="A944" t="s">
        <v>2159</v>
      </c>
      <c r="B944" t="s">
        <v>58</v>
      </c>
      <c r="C944" t="s">
        <v>112</v>
      </c>
      <c r="D944" t="s">
        <v>77</v>
      </c>
      <c r="E944" t="s">
        <v>2160</v>
      </c>
      <c r="F944">
        <v>2015</v>
      </c>
      <c r="G944" t="s">
        <v>1511</v>
      </c>
      <c r="H944" t="s">
        <v>24</v>
      </c>
      <c r="I944" t="s">
        <v>100</v>
      </c>
      <c r="J944">
        <v>5.4</v>
      </c>
      <c r="K944">
        <v>14225</v>
      </c>
      <c r="L944" t="s">
        <v>101</v>
      </c>
      <c r="M944" t="s">
        <v>80</v>
      </c>
      <c r="N944" t="s">
        <v>55</v>
      </c>
      <c r="O944" t="s">
        <v>46</v>
      </c>
      <c r="P944" t="s">
        <v>86</v>
      </c>
      <c r="Q944">
        <v>9</v>
      </c>
      <c r="R944">
        <v>11</v>
      </c>
    </row>
    <row r="945" spans="1:18" x14ac:dyDescent="0.3">
      <c r="A945" t="s">
        <v>2161</v>
      </c>
      <c r="B945" t="s">
        <v>70</v>
      </c>
      <c r="C945" t="s">
        <v>32</v>
      </c>
      <c r="D945" t="s">
        <v>41</v>
      </c>
      <c r="E945" t="s">
        <v>2162</v>
      </c>
      <c r="F945">
        <v>2016</v>
      </c>
      <c r="G945" t="s">
        <v>230</v>
      </c>
      <c r="H945" t="s">
        <v>96</v>
      </c>
      <c r="I945" t="s">
        <v>85</v>
      </c>
      <c r="J945">
        <v>7.8</v>
      </c>
      <c r="K945">
        <v>5529</v>
      </c>
      <c r="L945" t="s">
        <v>26</v>
      </c>
      <c r="M945" t="s">
        <v>54</v>
      </c>
      <c r="N945" t="s">
        <v>62</v>
      </c>
      <c r="O945" t="s">
        <v>29</v>
      </c>
      <c r="P945" t="s">
        <v>38</v>
      </c>
      <c r="Q945">
        <v>3</v>
      </c>
      <c r="R945">
        <v>10</v>
      </c>
    </row>
    <row r="946" spans="1:18" x14ac:dyDescent="0.3">
      <c r="A946" t="s">
        <v>2163</v>
      </c>
      <c r="B946" t="s">
        <v>19</v>
      </c>
      <c r="C946" t="s">
        <v>20</v>
      </c>
      <c r="D946" t="s">
        <v>93</v>
      </c>
      <c r="E946" t="s">
        <v>2164</v>
      </c>
      <c r="F946">
        <v>2016</v>
      </c>
      <c r="G946" t="s">
        <v>165</v>
      </c>
      <c r="H946" t="s">
        <v>24</v>
      </c>
      <c r="I946" t="s">
        <v>100</v>
      </c>
      <c r="J946">
        <v>7.7</v>
      </c>
      <c r="K946">
        <v>43135</v>
      </c>
      <c r="L946" t="s">
        <v>101</v>
      </c>
      <c r="M946" t="s">
        <v>80</v>
      </c>
      <c r="N946" t="s">
        <v>55</v>
      </c>
      <c r="O946" t="s">
        <v>118</v>
      </c>
      <c r="P946" t="s">
        <v>74</v>
      </c>
      <c r="Q946">
        <v>3.8</v>
      </c>
      <c r="R946">
        <v>10</v>
      </c>
    </row>
    <row r="947" spans="1:18" x14ac:dyDescent="0.3">
      <c r="A947" t="s">
        <v>2165</v>
      </c>
      <c r="B947" t="s">
        <v>49</v>
      </c>
      <c r="C947" t="s">
        <v>112</v>
      </c>
      <c r="D947" t="s">
        <v>93</v>
      </c>
      <c r="E947" t="s">
        <v>2166</v>
      </c>
      <c r="F947">
        <v>2019</v>
      </c>
      <c r="G947" t="s">
        <v>783</v>
      </c>
      <c r="H947" t="s">
        <v>96</v>
      </c>
      <c r="I947" t="s">
        <v>44</v>
      </c>
      <c r="J947">
        <v>2.5</v>
      </c>
      <c r="K947">
        <v>7435</v>
      </c>
      <c r="L947" t="s">
        <v>73</v>
      </c>
      <c r="M947" t="s">
        <v>80</v>
      </c>
      <c r="N947" t="s">
        <v>28</v>
      </c>
      <c r="O947" t="s">
        <v>118</v>
      </c>
      <c r="P947" t="s">
        <v>74</v>
      </c>
      <c r="Q947">
        <v>6.5</v>
      </c>
      <c r="R947">
        <v>7</v>
      </c>
    </row>
    <row r="948" spans="1:18" x14ac:dyDescent="0.3">
      <c r="A948" t="s">
        <v>2167</v>
      </c>
      <c r="B948" t="s">
        <v>40</v>
      </c>
      <c r="C948" t="s">
        <v>112</v>
      </c>
      <c r="D948" t="s">
        <v>21</v>
      </c>
      <c r="E948" t="s">
        <v>2168</v>
      </c>
      <c r="F948">
        <v>2014</v>
      </c>
      <c r="G948" t="s">
        <v>438</v>
      </c>
      <c r="H948" t="s">
        <v>35</v>
      </c>
      <c r="I948" t="s">
        <v>85</v>
      </c>
      <c r="J948">
        <v>1.9</v>
      </c>
      <c r="K948">
        <v>17669</v>
      </c>
      <c r="L948" t="s">
        <v>68</v>
      </c>
      <c r="M948" t="s">
        <v>54</v>
      </c>
      <c r="N948" t="s">
        <v>62</v>
      </c>
      <c r="O948" t="s">
        <v>46</v>
      </c>
      <c r="P948" t="s">
        <v>56</v>
      </c>
      <c r="Q948">
        <v>3.4</v>
      </c>
      <c r="R948">
        <v>12</v>
      </c>
    </row>
    <row r="949" spans="1:18" x14ac:dyDescent="0.3">
      <c r="A949" t="s">
        <v>2169</v>
      </c>
      <c r="B949" t="s">
        <v>70</v>
      </c>
      <c r="C949" t="s">
        <v>64</v>
      </c>
      <c r="D949" t="s">
        <v>77</v>
      </c>
      <c r="E949" t="s">
        <v>2170</v>
      </c>
      <c r="F949">
        <v>2020</v>
      </c>
      <c r="G949" t="s">
        <v>635</v>
      </c>
      <c r="H949" t="s">
        <v>24</v>
      </c>
      <c r="I949" t="s">
        <v>53</v>
      </c>
      <c r="J949">
        <v>7.7</v>
      </c>
      <c r="K949">
        <v>13836</v>
      </c>
      <c r="L949" t="s">
        <v>68</v>
      </c>
      <c r="M949" t="s">
        <v>54</v>
      </c>
      <c r="N949" t="s">
        <v>28</v>
      </c>
      <c r="O949" t="s">
        <v>118</v>
      </c>
      <c r="P949" t="s">
        <v>86</v>
      </c>
      <c r="Q949">
        <v>7.1</v>
      </c>
      <c r="R949">
        <v>6</v>
      </c>
    </row>
    <row r="950" spans="1:18" x14ac:dyDescent="0.3">
      <c r="A950" t="s">
        <v>2171</v>
      </c>
      <c r="B950" t="s">
        <v>58</v>
      </c>
      <c r="C950" t="s">
        <v>20</v>
      </c>
      <c r="D950" t="s">
        <v>93</v>
      </c>
      <c r="E950" t="s">
        <v>2172</v>
      </c>
      <c r="F950">
        <v>2018</v>
      </c>
      <c r="G950" t="s">
        <v>247</v>
      </c>
      <c r="H950" t="s">
        <v>24</v>
      </c>
      <c r="I950" t="s">
        <v>25</v>
      </c>
      <c r="J950">
        <v>9.6999999999999993</v>
      </c>
      <c r="K950">
        <v>42854</v>
      </c>
      <c r="L950" t="s">
        <v>101</v>
      </c>
      <c r="M950" t="s">
        <v>54</v>
      </c>
      <c r="N950" t="s">
        <v>28</v>
      </c>
      <c r="O950" t="s">
        <v>46</v>
      </c>
      <c r="P950" t="s">
        <v>47</v>
      </c>
      <c r="Q950">
        <v>2</v>
      </c>
      <c r="R950">
        <v>8</v>
      </c>
    </row>
    <row r="951" spans="1:18" x14ac:dyDescent="0.3">
      <c r="A951" t="s">
        <v>2173</v>
      </c>
      <c r="B951" t="s">
        <v>58</v>
      </c>
      <c r="C951" t="s">
        <v>20</v>
      </c>
      <c r="D951" t="s">
        <v>65</v>
      </c>
      <c r="E951" t="s">
        <v>2174</v>
      </c>
      <c r="F951">
        <v>2023</v>
      </c>
      <c r="G951" t="s">
        <v>310</v>
      </c>
      <c r="H951" t="s">
        <v>35</v>
      </c>
      <c r="I951" t="s">
        <v>53</v>
      </c>
      <c r="J951">
        <v>4.0999999999999996</v>
      </c>
      <c r="K951">
        <v>34514</v>
      </c>
      <c r="L951" t="s">
        <v>45</v>
      </c>
      <c r="M951" t="s">
        <v>37</v>
      </c>
      <c r="N951" t="s">
        <v>28</v>
      </c>
      <c r="O951" t="s">
        <v>46</v>
      </c>
      <c r="P951" t="s">
        <v>56</v>
      </c>
      <c r="Q951">
        <v>3</v>
      </c>
      <c r="R951">
        <v>3</v>
      </c>
    </row>
    <row r="952" spans="1:18" x14ac:dyDescent="0.3">
      <c r="A952" t="s">
        <v>2175</v>
      </c>
      <c r="B952" t="s">
        <v>19</v>
      </c>
      <c r="C952" t="s">
        <v>112</v>
      </c>
      <c r="D952" t="s">
        <v>93</v>
      </c>
      <c r="E952" t="s">
        <v>2176</v>
      </c>
      <c r="F952">
        <v>2021</v>
      </c>
      <c r="G952" t="s">
        <v>129</v>
      </c>
      <c r="H952" t="s">
        <v>35</v>
      </c>
      <c r="I952" t="s">
        <v>61</v>
      </c>
      <c r="J952">
        <v>8.8000000000000007</v>
      </c>
      <c r="K952">
        <v>32121</v>
      </c>
      <c r="L952" t="s">
        <v>45</v>
      </c>
      <c r="M952" t="s">
        <v>37</v>
      </c>
      <c r="N952" t="s">
        <v>55</v>
      </c>
      <c r="O952" t="s">
        <v>46</v>
      </c>
      <c r="P952" t="s">
        <v>47</v>
      </c>
      <c r="Q952">
        <v>6.8</v>
      </c>
      <c r="R952">
        <v>5</v>
      </c>
    </row>
    <row r="953" spans="1:18" x14ac:dyDescent="0.3">
      <c r="A953" t="s">
        <v>2177</v>
      </c>
      <c r="B953" t="s">
        <v>19</v>
      </c>
      <c r="C953" t="s">
        <v>20</v>
      </c>
      <c r="D953" t="s">
        <v>50</v>
      </c>
      <c r="E953" t="s">
        <v>2178</v>
      </c>
      <c r="F953">
        <v>2014</v>
      </c>
      <c r="G953" t="s">
        <v>321</v>
      </c>
      <c r="H953" t="s">
        <v>96</v>
      </c>
      <c r="I953" t="s">
        <v>61</v>
      </c>
      <c r="J953">
        <v>7.9</v>
      </c>
      <c r="K953">
        <v>23435</v>
      </c>
      <c r="L953" t="s">
        <v>68</v>
      </c>
      <c r="M953" t="s">
        <v>80</v>
      </c>
      <c r="N953" t="s">
        <v>28</v>
      </c>
      <c r="O953" t="s">
        <v>118</v>
      </c>
      <c r="P953" t="s">
        <v>86</v>
      </c>
      <c r="Q953">
        <v>2</v>
      </c>
      <c r="R953">
        <v>12</v>
      </c>
    </row>
    <row r="954" spans="1:18" x14ac:dyDescent="0.3">
      <c r="A954" t="s">
        <v>2179</v>
      </c>
      <c r="B954" t="s">
        <v>19</v>
      </c>
      <c r="C954" t="s">
        <v>76</v>
      </c>
      <c r="D954" t="s">
        <v>50</v>
      </c>
      <c r="E954" t="s">
        <v>2180</v>
      </c>
      <c r="F954">
        <v>2022</v>
      </c>
      <c r="G954" t="s">
        <v>220</v>
      </c>
      <c r="H954" t="s">
        <v>35</v>
      </c>
      <c r="I954" t="s">
        <v>100</v>
      </c>
      <c r="J954">
        <v>10.6</v>
      </c>
      <c r="K954">
        <v>30006</v>
      </c>
      <c r="L954" t="s">
        <v>101</v>
      </c>
      <c r="M954" t="s">
        <v>27</v>
      </c>
      <c r="N954" t="s">
        <v>55</v>
      </c>
      <c r="O954" t="s">
        <v>29</v>
      </c>
      <c r="P954" t="s">
        <v>86</v>
      </c>
      <c r="Q954">
        <v>7.4</v>
      </c>
      <c r="R954">
        <v>4</v>
      </c>
    </row>
    <row r="955" spans="1:18" x14ac:dyDescent="0.3">
      <c r="A955" t="s">
        <v>2181</v>
      </c>
      <c r="B955" t="s">
        <v>58</v>
      </c>
      <c r="C955" t="s">
        <v>76</v>
      </c>
      <c r="D955" t="s">
        <v>77</v>
      </c>
      <c r="E955" t="s">
        <v>2182</v>
      </c>
      <c r="F955">
        <v>2023</v>
      </c>
      <c r="G955" t="s">
        <v>1142</v>
      </c>
      <c r="H955" t="s">
        <v>24</v>
      </c>
      <c r="I955" t="s">
        <v>61</v>
      </c>
      <c r="J955">
        <v>13.9</v>
      </c>
      <c r="K955">
        <v>34724</v>
      </c>
      <c r="L955" t="s">
        <v>26</v>
      </c>
      <c r="M955" t="s">
        <v>27</v>
      </c>
      <c r="N955" t="s">
        <v>55</v>
      </c>
      <c r="O955" t="s">
        <v>118</v>
      </c>
      <c r="P955" t="s">
        <v>74</v>
      </c>
      <c r="Q955">
        <v>4.3</v>
      </c>
      <c r="R955">
        <v>3</v>
      </c>
    </row>
    <row r="956" spans="1:18" x14ac:dyDescent="0.3">
      <c r="A956" t="s">
        <v>2183</v>
      </c>
      <c r="B956" t="s">
        <v>49</v>
      </c>
      <c r="C956" t="s">
        <v>64</v>
      </c>
      <c r="D956" t="s">
        <v>77</v>
      </c>
      <c r="E956" t="s">
        <v>2184</v>
      </c>
      <c r="F956">
        <v>2014</v>
      </c>
      <c r="G956" t="s">
        <v>941</v>
      </c>
      <c r="H956" t="s">
        <v>96</v>
      </c>
      <c r="I956" t="s">
        <v>25</v>
      </c>
      <c r="J956">
        <v>17</v>
      </c>
      <c r="K956">
        <v>14506</v>
      </c>
      <c r="L956" t="s">
        <v>45</v>
      </c>
      <c r="M956" t="s">
        <v>54</v>
      </c>
      <c r="N956" t="s">
        <v>28</v>
      </c>
      <c r="O956" t="s">
        <v>46</v>
      </c>
      <c r="P956" t="s">
        <v>86</v>
      </c>
      <c r="Q956">
        <v>8</v>
      </c>
      <c r="R956">
        <v>12</v>
      </c>
    </row>
    <row r="957" spans="1:18" x14ac:dyDescent="0.3">
      <c r="A957" t="s">
        <v>2185</v>
      </c>
      <c r="B957" t="s">
        <v>70</v>
      </c>
      <c r="C957" t="s">
        <v>64</v>
      </c>
      <c r="D957" t="s">
        <v>50</v>
      </c>
      <c r="E957" t="s">
        <v>2186</v>
      </c>
      <c r="F957">
        <v>2014</v>
      </c>
      <c r="G957" t="s">
        <v>247</v>
      </c>
      <c r="H957" t="s">
        <v>24</v>
      </c>
      <c r="I957" t="s">
        <v>85</v>
      </c>
      <c r="J957">
        <v>3.4</v>
      </c>
      <c r="K957">
        <v>1555</v>
      </c>
      <c r="L957" t="s">
        <v>101</v>
      </c>
      <c r="M957" t="s">
        <v>54</v>
      </c>
      <c r="N957" t="s">
        <v>28</v>
      </c>
      <c r="O957" t="s">
        <v>29</v>
      </c>
      <c r="P957" t="s">
        <v>86</v>
      </c>
      <c r="Q957">
        <v>3.4</v>
      </c>
      <c r="R957">
        <v>12</v>
      </c>
    </row>
    <row r="958" spans="1:18" x14ac:dyDescent="0.3">
      <c r="A958" t="s">
        <v>2187</v>
      </c>
      <c r="B958" t="s">
        <v>40</v>
      </c>
      <c r="C958" t="s">
        <v>76</v>
      </c>
      <c r="D958" t="s">
        <v>41</v>
      </c>
      <c r="E958" t="s">
        <v>2188</v>
      </c>
      <c r="F958">
        <v>2016</v>
      </c>
      <c r="G958" t="s">
        <v>695</v>
      </c>
      <c r="H958" t="s">
        <v>35</v>
      </c>
      <c r="I958" t="s">
        <v>61</v>
      </c>
      <c r="J958">
        <v>12.5</v>
      </c>
      <c r="K958">
        <v>26027</v>
      </c>
      <c r="L958" t="s">
        <v>26</v>
      </c>
      <c r="M958" t="s">
        <v>27</v>
      </c>
      <c r="N958" t="s">
        <v>28</v>
      </c>
      <c r="O958" t="s">
        <v>118</v>
      </c>
      <c r="P958" t="s">
        <v>30</v>
      </c>
      <c r="Q958">
        <v>5</v>
      </c>
      <c r="R958">
        <v>10</v>
      </c>
    </row>
    <row r="959" spans="1:18" x14ac:dyDescent="0.3">
      <c r="A959" t="s">
        <v>2189</v>
      </c>
      <c r="B959" t="s">
        <v>40</v>
      </c>
      <c r="C959" t="s">
        <v>76</v>
      </c>
      <c r="D959" t="s">
        <v>65</v>
      </c>
      <c r="E959" t="s">
        <v>2190</v>
      </c>
      <c r="F959">
        <v>2024</v>
      </c>
      <c r="G959" t="s">
        <v>523</v>
      </c>
      <c r="H959" t="s">
        <v>24</v>
      </c>
      <c r="I959" t="s">
        <v>85</v>
      </c>
      <c r="J959">
        <v>12.9</v>
      </c>
      <c r="K959">
        <v>7779</v>
      </c>
      <c r="L959" t="s">
        <v>36</v>
      </c>
      <c r="M959" t="s">
        <v>54</v>
      </c>
      <c r="N959" t="s">
        <v>55</v>
      </c>
      <c r="O959" t="s">
        <v>29</v>
      </c>
      <c r="P959" t="s">
        <v>47</v>
      </c>
      <c r="Q959">
        <v>7.8</v>
      </c>
      <c r="R959">
        <v>2</v>
      </c>
    </row>
    <row r="960" spans="1:18" x14ac:dyDescent="0.3">
      <c r="A960" t="s">
        <v>2191</v>
      </c>
      <c r="B960" t="s">
        <v>58</v>
      </c>
      <c r="C960" t="s">
        <v>32</v>
      </c>
      <c r="D960" t="s">
        <v>82</v>
      </c>
      <c r="E960" t="s">
        <v>2192</v>
      </c>
      <c r="F960">
        <v>2018</v>
      </c>
      <c r="G960" t="s">
        <v>754</v>
      </c>
      <c r="H960" t="s">
        <v>35</v>
      </c>
      <c r="I960" t="s">
        <v>53</v>
      </c>
      <c r="J960">
        <v>9</v>
      </c>
      <c r="K960">
        <v>39932</v>
      </c>
      <c r="L960" t="s">
        <v>26</v>
      </c>
      <c r="M960" t="s">
        <v>54</v>
      </c>
      <c r="N960" t="s">
        <v>62</v>
      </c>
      <c r="O960" t="s">
        <v>29</v>
      </c>
      <c r="P960" t="s">
        <v>56</v>
      </c>
      <c r="Q960">
        <v>4</v>
      </c>
      <c r="R960">
        <v>8</v>
      </c>
    </row>
    <row r="961" spans="1:18" x14ac:dyDescent="0.3">
      <c r="A961" t="s">
        <v>2193</v>
      </c>
      <c r="B961" t="s">
        <v>19</v>
      </c>
      <c r="C961" t="s">
        <v>32</v>
      </c>
      <c r="D961" t="s">
        <v>93</v>
      </c>
      <c r="E961" t="s">
        <v>2194</v>
      </c>
      <c r="F961">
        <v>2019</v>
      </c>
      <c r="G961" t="s">
        <v>1372</v>
      </c>
      <c r="H961" t="s">
        <v>35</v>
      </c>
      <c r="I961" t="s">
        <v>44</v>
      </c>
      <c r="J961">
        <v>11.8</v>
      </c>
      <c r="K961">
        <v>10549</v>
      </c>
      <c r="L961" t="s">
        <v>36</v>
      </c>
      <c r="M961" t="s">
        <v>54</v>
      </c>
      <c r="N961" t="s">
        <v>28</v>
      </c>
      <c r="O961" t="s">
        <v>29</v>
      </c>
      <c r="P961" t="s">
        <v>86</v>
      </c>
      <c r="Q961">
        <v>4.5999999999999996</v>
      </c>
      <c r="R961">
        <v>7</v>
      </c>
    </row>
    <row r="962" spans="1:18" x14ac:dyDescent="0.3">
      <c r="A962" t="s">
        <v>2195</v>
      </c>
      <c r="B962" t="s">
        <v>40</v>
      </c>
      <c r="C962" t="s">
        <v>76</v>
      </c>
      <c r="D962" t="s">
        <v>21</v>
      </c>
      <c r="E962" t="s">
        <v>2196</v>
      </c>
      <c r="F962">
        <v>2019</v>
      </c>
      <c r="G962" t="s">
        <v>681</v>
      </c>
      <c r="H962" t="s">
        <v>24</v>
      </c>
      <c r="I962" t="s">
        <v>85</v>
      </c>
      <c r="J962">
        <v>12.3</v>
      </c>
      <c r="K962">
        <v>33000</v>
      </c>
      <c r="L962" t="s">
        <v>26</v>
      </c>
      <c r="M962" t="s">
        <v>37</v>
      </c>
      <c r="N962" t="s">
        <v>55</v>
      </c>
      <c r="O962" t="s">
        <v>29</v>
      </c>
      <c r="P962" t="s">
        <v>56</v>
      </c>
      <c r="Q962">
        <v>4.3</v>
      </c>
      <c r="R962">
        <v>7</v>
      </c>
    </row>
    <row r="963" spans="1:18" x14ac:dyDescent="0.3">
      <c r="A963" t="s">
        <v>2197</v>
      </c>
      <c r="B963" t="s">
        <v>58</v>
      </c>
      <c r="C963" t="s">
        <v>112</v>
      </c>
      <c r="D963" t="s">
        <v>77</v>
      </c>
      <c r="E963" t="s">
        <v>2198</v>
      </c>
      <c r="F963">
        <v>2022</v>
      </c>
      <c r="G963" t="s">
        <v>763</v>
      </c>
      <c r="H963" t="s">
        <v>35</v>
      </c>
      <c r="I963" t="s">
        <v>44</v>
      </c>
      <c r="J963">
        <v>12</v>
      </c>
      <c r="K963">
        <v>28007</v>
      </c>
      <c r="L963" t="s">
        <v>26</v>
      </c>
      <c r="M963" t="s">
        <v>54</v>
      </c>
      <c r="N963" t="s">
        <v>55</v>
      </c>
      <c r="O963" t="s">
        <v>29</v>
      </c>
      <c r="P963" t="s">
        <v>74</v>
      </c>
      <c r="Q963">
        <v>5.3</v>
      </c>
      <c r="R963">
        <v>4</v>
      </c>
    </row>
    <row r="964" spans="1:18" x14ac:dyDescent="0.3">
      <c r="A964" t="s">
        <v>2199</v>
      </c>
      <c r="B964" t="s">
        <v>19</v>
      </c>
      <c r="C964" t="s">
        <v>76</v>
      </c>
      <c r="D964" t="s">
        <v>65</v>
      </c>
      <c r="E964" t="s">
        <v>2200</v>
      </c>
      <c r="F964">
        <v>2024</v>
      </c>
      <c r="G964" t="s">
        <v>1174</v>
      </c>
      <c r="H964" t="s">
        <v>96</v>
      </c>
      <c r="I964" t="s">
        <v>85</v>
      </c>
      <c r="J964">
        <v>7.9</v>
      </c>
      <c r="K964">
        <v>5072</v>
      </c>
      <c r="L964" t="s">
        <v>68</v>
      </c>
      <c r="M964" t="s">
        <v>27</v>
      </c>
      <c r="N964" t="s">
        <v>55</v>
      </c>
      <c r="O964" t="s">
        <v>46</v>
      </c>
      <c r="P964" t="s">
        <v>38</v>
      </c>
      <c r="Q964">
        <v>1.6</v>
      </c>
      <c r="R964">
        <v>2</v>
      </c>
    </row>
    <row r="965" spans="1:18" x14ac:dyDescent="0.3">
      <c r="A965" t="s">
        <v>2201</v>
      </c>
      <c r="B965" t="s">
        <v>70</v>
      </c>
      <c r="C965" t="s">
        <v>76</v>
      </c>
      <c r="D965" t="s">
        <v>65</v>
      </c>
      <c r="E965" t="s">
        <v>2202</v>
      </c>
      <c r="F965">
        <v>2021</v>
      </c>
      <c r="G965" t="s">
        <v>1372</v>
      </c>
      <c r="H965" t="s">
        <v>24</v>
      </c>
      <c r="I965" t="s">
        <v>100</v>
      </c>
      <c r="J965">
        <v>17.5</v>
      </c>
      <c r="K965">
        <v>8818</v>
      </c>
      <c r="L965" t="s">
        <v>73</v>
      </c>
      <c r="M965" t="s">
        <v>27</v>
      </c>
      <c r="N965" t="s">
        <v>62</v>
      </c>
      <c r="O965" t="s">
        <v>118</v>
      </c>
      <c r="P965" t="s">
        <v>38</v>
      </c>
      <c r="Q965">
        <v>1.3</v>
      </c>
      <c r="R965">
        <v>5</v>
      </c>
    </row>
    <row r="966" spans="1:18" x14ac:dyDescent="0.3">
      <c r="A966" t="s">
        <v>2203</v>
      </c>
      <c r="B966" t="s">
        <v>49</v>
      </c>
      <c r="C966" t="s">
        <v>20</v>
      </c>
      <c r="D966" t="s">
        <v>21</v>
      </c>
      <c r="E966" t="s">
        <v>2204</v>
      </c>
      <c r="F966">
        <v>2014</v>
      </c>
      <c r="G966" t="s">
        <v>1142</v>
      </c>
      <c r="H966" t="s">
        <v>35</v>
      </c>
      <c r="I966" t="s">
        <v>100</v>
      </c>
      <c r="J966">
        <v>13.2</v>
      </c>
      <c r="K966">
        <v>31318</v>
      </c>
      <c r="L966" t="s">
        <v>36</v>
      </c>
      <c r="M966" t="s">
        <v>80</v>
      </c>
      <c r="N966" t="s">
        <v>55</v>
      </c>
      <c r="O966" t="s">
        <v>118</v>
      </c>
      <c r="P966" t="s">
        <v>30</v>
      </c>
      <c r="Q966">
        <v>1.7</v>
      </c>
      <c r="R966">
        <v>12</v>
      </c>
    </row>
    <row r="967" spans="1:18" x14ac:dyDescent="0.3">
      <c r="A967" t="s">
        <v>2205</v>
      </c>
      <c r="B967" t="s">
        <v>70</v>
      </c>
      <c r="C967" t="s">
        <v>112</v>
      </c>
      <c r="D967" t="s">
        <v>93</v>
      </c>
      <c r="E967" t="s">
        <v>2206</v>
      </c>
      <c r="F967">
        <v>2021</v>
      </c>
      <c r="G967" t="s">
        <v>501</v>
      </c>
      <c r="H967" t="s">
        <v>35</v>
      </c>
      <c r="I967" t="s">
        <v>53</v>
      </c>
      <c r="J967">
        <v>7.9</v>
      </c>
      <c r="K967">
        <v>20908</v>
      </c>
      <c r="L967" t="s">
        <v>26</v>
      </c>
      <c r="M967" t="s">
        <v>37</v>
      </c>
      <c r="N967" t="s">
        <v>28</v>
      </c>
      <c r="O967" t="s">
        <v>118</v>
      </c>
      <c r="P967" t="s">
        <v>86</v>
      </c>
      <c r="Q967">
        <v>4.5</v>
      </c>
      <c r="R967">
        <v>5</v>
      </c>
    </row>
    <row r="968" spans="1:18" x14ac:dyDescent="0.3">
      <c r="A968" t="s">
        <v>2207</v>
      </c>
      <c r="B968" t="s">
        <v>70</v>
      </c>
      <c r="C968" t="s">
        <v>112</v>
      </c>
      <c r="D968" t="s">
        <v>93</v>
      </c>
      <c r="E968" t="s">
        <v>2208</v>
      </c>
      <c r="F968">
        <v>2021</v>
      </c>
      <c r="G968" t="s">
        <v>686</v>
      </c>
      <c r="H968" t="s">
        <v>24</v>
      </c>
      <c r="I968" t="s">
        <v>25</v>
      </c>
      <c r="J968">
        <v>1.1000000000000001</v>
      </c>
      <c r="K968">
        <v>27466</v>
      </c>
      <c r="L968" t="s">
        <v>73</v>
      </c>
      <c r="M968" t="s">
        <v>54</v>
      </c>
      <c r="N968" t="s">
        <v>28</v>
      </c>
      <c r="O968" t="s">
        <v>46</v>
      </c>
      <c r="P968" t="s">
        <v>30</v>
      </c>
      <c r="Q968">
        <v>1.7</v>
      </c>
      <c r="R968">
        <v>5</v>
      </c>
    </row>
    <row r="969" spans="1:18" x14ac:dyDescent="0.3">
      <c r="A969" t="s">
        <v>2209</v>
      </c>
      <c r="B969" t="s">
        <v>58</v>
      </c>
      <c r="C969" t="s">
        <v>76</v>
      </c>
      <c r="D969" t="s">
        <v>77</v>
      </c>
      <c r="E969" t="s">
        <v>2210</v>
      </c>
      <c r="F969">
        <v>2016</v>
      </c>
      <c r="G969" t="s">
        <v>287</v>
      </c>
      <c r="H969" t="s">
        <v>24</v>
      </c>
      <c r="I969" t="s">
        <v>85</v>
      </c>
      <c r="J969">
        <v>12.6</v>
      </c>
      <c r="K969">
        <v>17497</v>
      </c>
      <c r="L969" t="s">
        <v>101</v>
      </c>
      <c r="M969" t="s">
        <v>27</v>
      </c>
      <c r="N969" t="s">
        <v>28</v>
      </c>
      <c r="O969" t="s">
        <v>29</v>
      </c>
      <c r="P969" t="s">
        <v>86</v>
      </c>
      <c r="Q969">
        <v>4</v>
      </c>
      <c r="R969">
        <v>10</v>
      </c>
    </row>
    <row r="970" spans="1:18" x14ac:dyDescent="0.3">
      <c r="A970" t="s">
        <v>2211</v>
      </c>
      <c r="B970" t="s">
        <v>19</v>
      </c>
      <c r="C970" t="s">
        <v>76</v>
      </c>
      <c r="D970" t="s">
        <v>93</v>
      </c>
      <c r="E970" t="s">
        <v>2212</v>
      </c>
      <c r="F970">
        <v>2016</v>
      </c>
      <c r="G970" t="s">
        <v>900</v>
      </c>
      <c r="H970" t="s">
        <v>96</v>
      </c>
      <c r="I970" t="s">
        <v>44</v>
      </c>
      <c r="J970">
        <v>6.4</v>
      </c>
      <c r="K970">
        <v>43229</v>
      </c>
      <c r="L970" t="s">
        <v>101</v>
      </c>
      <c r="M970" t="s">
        <v>37</v>
      </c>
      <c r="N970" t="s">
        <v>55</v>
      </c>
      <c r="O970" t="s">
        <v>118</v>
      </c>
      <c r="P970" t="s">
        <v>30</v>
      </c>
      <c r="Q970">
        <v>2.2000000000000002</v>
      </c>
      <c r="R970">
        <v>10</v>
      </c>
    </row>
    <row r="971" spans="1:18" x14ac:dyDescent="0.3">
      <c r="A971" t="s">
        <v>2213</v>
      </c>
      <c r="B971" t="s">
        <v>19</v>
      </c>
      <c r="C971" t="s">
        <v>76</v>
      </c>
      <c r="D971" t="s">
        <v>41</v>
      </c>
      <c r="E971" t="s">
        <v>2214</v>
      </c>
      <c r="F971">
        <v>2025</v>
      </c>
      <c r="G971" t="s">
        <v>1580</v>
      </c>
      <c r="H971" t="s">
        <v>35</v>
      </c>
      <c r="I971" t="s">
        <v>100</v>
      </c>
      <c r="J971">
        <v>5.0999999999999996</v>
      </c>
      <c r="K971">
        <v>21370</v>
      </c>
      <c r="L971" t="s">
        <v>45</v>
      </c>
      <c r="M971" t="s">
        <v>54</v>
      </c>
      <c r="N971" t="s">
        <v>62</v>
      </c>
      <c r="O971" t="s">
        <v>29</v>
      </c>
      <c r="P971" t="s">
        <v>86</v>
      </c>
      <c r="Q971">
        <v>5.9</v>
      </c>
      <c r="R971">
        <v>1</v>
      </c>
    </row>
    <row r="972" spans="1:18" x14ac:dyDescent="0.3">
      <c r="A972" t="s">
        <v>2215</v>
      </c>
      <c r="B972" t="s">
        <v>58</v>
      </c>
      <c r="C972" t="s">
        <v>20</v>
      </c>
      <c r="D972" t="s">
        <v>65</v>
      </c>
      <c r="E972" t="s">
        <v>2216</v>
      </c>
      <c r="F972">
        <v>2017</v>
      </c>
      <c r="G972" t="s">
        <v>360</v>
      </c>
      <c r="H972" t="s">
        <v>35</v>
      </c>
      <c r="I972" t="s">
        <v>61</v>
      </c>
      <c r="J972">
        <v>5.3</v>
      </c>
      <c r="K972">
        <v>4497</v>
      </c>
      <c r="L972" t="s">
        <v>45</v>
      </c>
      <c r="M972" t="s">
        <v>27</v>
      </c>
      <c r="N972" t="s">
        <v>28</v>
      </c>
      <c r="O972" t="s">
        <v>46</v>
      </c>
      <c r="P972" t="s">
        <v>86</v>
      </c>
      <c r="Q972">
        <v>3.1</v>
      </c>
      <c r="R972">
        <v>9</v>
      </c>
    </row>
    <row r="973" spans="1:18" x14ac:dyDescent="0.3">
      <c r="A973" t="s">
        <v>2217</v>
      </c>
      <c r="B973" t="s">
        <v>19</v>
      </c>
      <c r="C973" t="s">
        <v>76</v>
      </c>
      <c r="D973" t="s">
        <v>65</v>
      </c>
      <c r="E973" t="s">
        <v>2218</v>
      </c>
      <c r="F973">
        <v>2020</v>
      </c>
      <c r="G973" t="s">
        <v>310</v>
      </c>
      <c r="H973" t="s">
        <v>24</v>
      </c>
      <c r="I973" t="s">
        <v>53</v>
      </c>
      <c r="J973">
        <v>8.6</v>
      </c>
      <c r="K973">
        <v>43105</v>
      </c>
      <c r="L973" t="s">
        <v>68</v>
      </c>
      <c r="M973" t="s">
        <v>80</v>
      </c>
      <c r="N973" t="s">
        <v>28</v>
      </c>
      <c r="O973" t="s">
        <v>29</v>
      </c>
      <c r="P973" t="s">
        <v>30</v>
      </c>
      <c r="Q973">
        <v>7.2</v>
      </c>
      <c r="R973">
        <v>6</v>
      </c>
    </row>
    <row r="974" spans="1:18" x14ac:dyDescent="0.3">
      <c r="A974" t="s">
        <v>2219</v>
      </c>
      <c r="B974" t="s">
        <v>49</v>
      </c>
      <c r="C974" t="s">
        <v>20</v>
      </c>
      <c r="D974" t="s">
        <v>65</v>
      </c>
      <c r="E974" t="s">
        <v>2220</v>
      </c>
      <c r="F974">
        <v>2017</v>
      </c>
      <c r="G974" t="s">
        <v>909</v>
      </c>
      <c r="H974" t="s">
        <v>35</v>
      </c>
      <c r="I974" t="s">
        <v>85</v>
      </c>
      <c r="J974">
        <v>10.8</v>
      </c>
      <c r="K974">
        <v>43100</v>
      </c>
      <c r="L974" t="s">
        <v>45</v>
      </c>
      <c r="M974" t="s">
        <v>37</v>
      </c>
      <c r="N974" t="s">
        <v>62</v>
      </c>
      <c r="O974" t="s">
        <v>118</v>
      </c>
      <c r="P974" t="s">
        <v>47</v>
      </c>
      <c r="Q974">
        <v>9.3000000000000007</v>
      </c>
      <c r="R974">
        <v>9</v>
      </c>
    </row>
    <row r="975" spans="1:18" x14ac:dyDescent="0.3">
      <c r="A975" t="s">
        <v>2221</v>
      </c>
      <c r="B975" t="s">
        <v>70</v>
      </c>
      <c r="C975" t="s">
        <v>20</v>
      </c>
      <c r="D975" t="s">
        <v>77</v>
      </c>
      <c r="E975" t="s">
        <v>2222</v>
      </c>
      <c r="F975">
        <v>2014</v>
      </c>
      <c r="G975" t="s">
        <v>1480</v>
      </c>
      <c r="H975" t="s">
        <v>35</v>
      </c>
      <c r="I975" t="s">
        <v>61</v>
      </c>
      <c r="J975">
        <v>8.6</v>
      </c>
      <c r="K975">
        <v>34200</v>
      </c>
      <c r="L975" t="s">
        <v>73</v>
      </c>
      <c r="M975" t="s">
        <v>54</v>
      </c>
      <c r="N975" t="s">
        <v>62</v>
      </c>
      <c r="O975" t="s">
        <v>118</v>
      </c>
      <c r="P975" t="s">
        <v>86</v>
      </c>
      <c r="Q975">
        <v>4.3</v>
      </c>
      <c r="R975">
        <v>12</v>
      </c>
    </row>
    <row r="976" spans="1:18" x14ac:dyDescent="0.3">
      <c r="A976" t="s">
        <v>2223</v>
      </c>
      <c r="B976" t="s">
        <v>19</v>
      </c>
      <c r="C976" t="s">
        <v>76</v>
      </c>
      <c r="D976" t="s">
        <v>93</v>
      </c>
      <c r="E976" t="s">
        <v>2224</v>
      </c>
      <c r="F976">
        <v>2024</v>
      </c>
      <c r="G976" t="s">
        <v>334</v>
      </c>
      <c r="H976" t="s">
        <v>96</v>
      </c>
      <c r="I976" t="s">
        <v>44</v>
      </c>
      <c r="J976">
        <v>4.0999999999999996</v>
      </c>
      <c r="K976">
        <v>36207</v>
      </c>
      <c r="L976" t="s">
        <v>68</v>
      </c>
      <c r="M976" t="s">
        <v>37</v>
      </c>
      <c r="N976" t="s">
        <v>55</v>
      </c>
      <c r="O976" t="s">
        <v>118</v>
      </c>
      <c r="P976" t="s">
        <v>47</v>
      </c>
      <c r="Q976">
        <v>6.9</v>
      </c>
      <c r="R976">
        <v>2</v>
      </c>
    </row>
    <row r="977" spans="1:18" x14ac:dyDescent="0.3">
      <c r="A977" t="s">
        <v>2225</v>
      </c>
      <c r="B977" t="s">
        <v>49</v>
      </c>
      <c r="C977" t="s">
        <v>32</v>
      </c>
      <c r="D977" t="s">
        <v>21</v>
      </c>
      <c r="E977" t="s">
        <v>2226</v>
      </c>
      <c r="F977">
        <v>2014</v>
      </c>
      <c r="G977" t="s">
        <v>43</v>
      </c>
      <c r="H977" t="s">
        <v>35</v>
      </c>
      <c r="I977" t="s">
        <v>100</v>
      </c>
      <c r="J977">
        <v>8.1</v>
      </c>
      <c r="K977">
        <v>3034</v>
      </c>
      <c r="L977" t="s">
        <v>68</v>
      </c>
      <c r="M977" t="s">
        <v>27</v>
      </c>
      <c r="N977" t="s">
        <v>28</v>
      </c>
      <c r="O977" t="s">
        <v>118</v>
      </c>
      <c r="P977" t="s">
        <v>74</v>
      </c>
      <c r="Q977">
        <v>1.8</v>
      </c>
      <c r="R977">
        <v>12</v>
      </c>
    </row>
    <row r="978" spans="1:18" x14ac:dyDescent="0.3">
      <c r="A978" t="s">
        <v>2227</v>
      </c>
      <c r="B978" t="s">
        <v>19</v>
      </c>
      <c r="C978" t="s">
        <v>76</v>
      </c>
      <c r="D978" t="s">
        <v>21</v>
      </c>
      <c r="E978" t="s">
        <v>2228</v>
      </c>
      <c r="F978">
        <v>2023</v>
      </c>
      <c r="G978" t="s">
        <v>159</v>
      </c>
      <c r="H978" t="s">
        <v>24</v>
      </c>
      <c r="I978" t="s">
        <v>44</v>
      </c>
      <c r="J978">
        <v>10.5</v>
      </c>
      <c r="K978">
        <v>13206</v>
      </c>
      <c r="L978" t="s">
        <v>73</v>
      </c>
      <c r="M978" t="s">
        <v>27</v>
      </c>
      <c r="N978" t="s">
        <v>62</v>
      </c>
      <c r="O978" t="s">
        <v>118</v>
      </c>
      <c r="P978" t="s">
        <v>86</v>
      </c>
      <c r="Q978">
        <v>7.6</v>
      </c>
      <c r="R978">
        <v>3</v>
      </c>
    </row>
    <row r="979" spans="1:18" x14ac:dyDescent="0.3">
      <c r="A979" t="s">
        <v>2229</v>
      </c>
      <c r="B979" t="s">
        <v>70</v>
      </c>
      <c r="C979" t="s">
        <v>20</v>
      </c>
      <c r="D979" t="s">
        <v>50</v>
      </c>
      <c r="E979" t="s">
        <v>2230</v>
      </c>
      <c r="F979">
        <v>2020</v>
      </c>
      <c r="G979" t="s">
        <v>331</v>
      </c>
      <c r="H979" t="s">
        <v>24</v>
      </c>
      <c r="I979" t="s">
        <v>44</v>
      </c>
      <c r="J979">
        <v>12.1</v>
      </c>
      <c r="K979">
        <v>42992</v>
      </c>
      <c r="L979" t="s">
        <v>101</v>
      </c>
      <c r="M979" t="s">
        <v>37</v>
      </c>
      <c r="N979" t="s">
        <v>62</v>
      </c>
      <c r="O979" t="s">
        <v>46</v>
      </c>
      <c r="P979" t="s">
        <v>74</v>
      </c>
      <c r="Q979">
        <v>4.2</v>
      </c>
      <c r="R979">
        <v>6</v>
      </c>
    </row>
    <row r="980" spans="1:18" x14ac:dyDescent="0.3">
      <c r="A980" t="s">
        <v>2231</v>
      </c>
      <c r="B980" t="s">
        <v>58</v>
      </c>
      <c r="C980" t="s">
        <v>20</v>
      </c>
      <c r="D980" t="s">
        <v>50</v>
      </c>
      <c r="E980" t="s">
        <v>2232</v>
      </c>
      <c r="F980">
        <v>2020</v>
      </c>
      <c r="G980" t="s">
        <v>171</v>
      </c>
      <c r="H980" t="s">
        <v>96</v>
      </c>
      <c r="I980" t="s">
        <v>61</v>
      </c>
      <c r="J980">
        <v>16.7</v>
      </c>
      <c r="K980">
        <v>13140</v>
      </c>
      <c r="L980" t="s">
        <v>36</v>
      </c>
      <c r="M980" t="s">
        <v>37</v>
      </c>
      <c r="N980" t="s">
        <v>28</v>
      </c>
      <c r="O980" t="s">
        <v>46</v>
      </c>
      <c r="P980" t="s">
        <v>86</v>
      </c>
      <c r="Q980">
        <v>7.7</v>
      </c>
      <c r="R980">
        <v>6</v>
      </c>
    </row>
    <row r="981" spans="1:18" x14ac:dyDescent="0.3">
      <c r="A981" t="s">
        <v>2233</v>
      </c>
      <c r="B981" t="s">
        <v>19</v>
      </c>
      <c r="C981" t="s">
        <v>76</v>
      </c>
      <c r="D981" t="s">
        <v>93</v>
      </c>
      <c r="E981" t="s">
        <v>2234</v>
      </c>
      <c r="F981">
        <v>2024</v>
      </c>
      <c r="G981" t="s">
        <v>407</v>
      </c>
      <c r="H981" t="s">
        <v>35</v>
      </c>
      <c r="I981" t="s">
        <v>85</v>
      </c>
      <c r="J981">
        <v>7.7</v>
      </c>
      <c r="K981">
        <v>43208</v>
      </c>
      <c r="L981" t="s">
        <v>26</v>
      </c>
      <c r="M981" t="s">
        <v>54</v>
      </c>
      <c r="N981" t="s">
        <v>28</v>
      </c>
      <c r="O981" t="s">
        <v>46</v>
      </c>
      <c r="P981" t="s">
        <v>74</v>
      </c>
      <c r="Q981">
        <v>5.3</v>
      </c>
      <c r="R981">
        <v>2</v>
      </c>
    </row>
    <row r="982" spans="1:18" x14ac:dyDescent="0.3">
      <c r="A982" t="s">
        <v>2235</v>
      </c>
      <c r="B982" t="s">
        <v>49</v>
      </c>
      <c r="C982" t="s">
        <v>76</v>
      </c>
      <c r="D982" t="s">
        <v>41</v>
      </c>
      <c r="E982" t="s">
        <v>2236</v>
      </c>
      <c r="F982">
        <v>2015</v>
      </c>
      <c r="G982" t="s">
        <v>331</v>
      </c>
      <c r="H982" t="s">
        <v>24</v>
      </c>
      <c r="I982" t="s">
        <v>61</v>
      </c>
      <c r="J982">
        <v>3.4</v>
      </c>
      <c r="K982">
        <v>42492</v>
      </c>
      <c r="L982" t="s">
        <v>36</v>
      </c>
      <c r="M982" t="s">
        <v>80</v>
      </c>
      <c r="N982" t="s">
        <v>55</v>
      </c>
      <c r="O982" t="s">
        <v>29</v>
      </c>
      <c r="P982" t="s">
        <v>38</v>
      </c>
      <c r="Q982">
        <v>6.2</v>
      </c>
      <c r="R982">
        <v>11</v>
      </c>
    </row>
    <row r="983" spans="1:18" x14ac:dyDescent="0.3">
      <c r="A983" t="s">
        <v>2237</v>
      </c>
      <c r="B983" t="s">
        <v>49</v>
      </c>
      <c r="C983" t="s">
        <v>32</v>
      </c>
      <c r="D983" t="s">
        <v>50</v>
      </c>
      <c r="E983" t="s">
        <v>2238</v>
      </c>
      <c r="F983">
        <v>2024</v>
      </c>
      <c r="G983" t="s">
        <v>537</v>
      </c>
      <c r="H983" t="s">
        <v>24</v>
      </c>
      <c r="I983" t="s">
        <v>61</v>
      </c>
      <c r="J983">
        <v>8.5</v>
      </c>
      <c r="K983">
        <v>17183</v>
      </c>
      <c r="L983" t="s">
        <v>73</v>
      </c>
      <c r="M983" t="s">
        <v>27</v>
      </c>
      <c r="N983" t="s">
        <v>62</v>
      </c>
      <c r="O983" t="s">
        <v>29</v>
      </c>
      <c r="P983" t="s">
        <v>86</v>
      </c>
      <c r="Q983">
        <v>1.8</v>
      </c>
      <c r="R983">
        <v>2</v>
      </c>
    </row>
    <row r="984" spans="1:18" x14ac:dyDescent="0.3">
      <c r="A984" t="s">
        <v>2239</v>
      </c>
      <c r="B984" t="s">
        <v>40</v>
      </c>
      <c r="C984" t="s">
        <v>32</v>
      </c>
      <c r="D984" t="s">
        <v>82</v>
      </c>
      <c r="E984" t="s">
        <v>2240</v>
      </c>
      <c r="F984">
        <v>2015</v>
      </c>
      <c r="G984" t="s">
        <v>720</v>
      </c>
      <c r="H984" t="s">
        <v>24</v>
      </c>
      <c r="I984" t="s">
        <v>25</v>
      </c>
      <c r="J984">
        <v>11.1</v>
      </c>
      <c r="K984">
        <v>17352</v>
      </c>
      <c r="L984" t="s">
        <v>73</v>
      </c>
      <c r="M984" t="s">
        <v>27</v>
      </c>
      <c r="N984" t="s">
        <v>62</v>
      </c>
      <c r="O984" t="s">
        <v>46</v>
      </c>
      <c r="P984" t="s">
        <v>30</v>
      </c>
      <c r="Q984">
        <v>8.1</v>
      </c>
      <c r="R984">
        <v>11</v>
      </c>
    </row>
    <row r="985" spans="1:18" x14ac:dyDescent="0.3">
      <c r="A985" t="s">
        <v>2241</v>
      </c>
      <c r="B985" t="s">
        <v>40</v>
      </c>
      <c r="C985" t="s">
        <v>76</v>
      </c>
      <c r="D985" t="s">
        <v>65</v>
      </c>
      <c r="E985" t="s">
        <v>2242</v>
      </c>
      <c r="F985">
        <v>2019</v>
      </c>
      <c r="G985" t="s">
        <v>493</v>
      </c>
      <c r="H985" t="s">
        <v>96</v>
      </c>
      <c r="I985" t="s">
        <v>44</v>
      </c>
      <c r="J985">
        <v>13.6</v>
      </c>
      <c r="K985">
        <v>28130</v>
      </c>
      <c r="L985" t="s">
        <v>45</v>
      </c>
      <c r="M985" t="s">
        <v>27</v>
      </c>
      <c r="N985" t="s">
        <v>55</v>
      </c>
      <c r="O985" t="s">
        <v>29</v>
      </c>
      <c r="P985" t="s">
        <v>47</v>
      </c>
      <c r="Q985">
        <v>9.6</v>
      </c>
      <c r="R985">
        <v>7</v>
      </c>
    </row>
    <row r="986" spans="1:18" x14ac:dyDescent="0.3">
      <c r="A986" t="s">
        <v>2243</v>
      </c>
      <c r="B986" t="s">
        <v>19</v>
      </c>
      <c r="C986" t="s">
        <v>32</v>
      </c>
      <c r="D986" t="s">
        <v>65</v>
      </c>
      <c r="E986" t="s">
        <v>2244</v>
      </c>
      <c r="F986">
        <v>2025</v>
      </c>
      <c r="G986" t="s">
        <v>667</v>
      </c>
      <c r="H986" t="s">
        <v>96</v>
      </c>
      <c r="I986" t="s">
        <v>25</v>
      </c>
      <c r="J986">
        <v>0.9</v>
      </c>
      <c r="K986">
        <v>33010</v>
      </c>
      <c r="L986" t="s">
        <v>101</v>
      </c>
      <c r="M986" t="s">
        <v>80</v>
      </c>
      <c r="N986" t="s">
        <v>55</v>
      </c>
      <c r="O986" t="s">
        <v>118</v>
      </c>
      <c r="P986" t="s">
        <v>38</v>
      </c>
      <c r="Q986">
        <v>7.8</v>
      </c>
      <c r="R986">
        <v>1</v>
      </c>
    </row>
    <row r="987" spans="1:18" x14ac:dyDescent="0.3">
      <c r="A987" t="s">
        <v>2245</v>
      </c>
      <c r="B987" t="s">
        <v>49</v>
      </c>
      <c r="C987" t="s">
        <v>76</v>
      </c>
      <c r="D987" t="s">
        <v>82</v>
      </c>
      <c r="E987" t="s">
        <v>2246</v>
      </c>
      <c r="F987">
        <v>2019</v>
      </c>
      <c r="G987" t="s">
        <v>326</v>
      </c>
      <c r="H987" t="s">
        <v>35</v>
      </c>
      <c r="I987" t="s">
        <v>44</v>
      </c>
      <c r="J987">
        <v>3.1</v>
      </c>
      <c r="K987">
        <v>18703</v>
      </c>
      <c r="L987" t="s">
        <v>45</v>
      </c>
      <c r="M987" t="s">
        <v>80</v>
      </c>
      <c r="N987" t="s">
        <v>62</v>
      </c>
      <c r="O987" t="s">
        <v>29</v>
      </c>
      <c r="P987" t="s">
        <v>86</v>
      </c>
      <c r="Q987">
        <v>4.4000000000000004</v>
      </c>
      <c r="R987">
        <v>7</v>
      </c>
    </row>
    <row r="988" spans="1:18" x14ac:dyDescent="0.3">
      <c r="A988" t="s">
        <v>2247</v>
      </c>
      <c r="B988" t="s">
        <v>40</v>
      </c>
      <c r="C988" t="s">
        <v>76</v>
      </c>
      <c r="D988" t="s">
        <v>21</v>
      </c>
      <c r="E988" t="s">
        <v>2248</v>
      </c>
      <c r="F988">
        <v>2019</v>
      </c>
      <c r="G988" t="s">
        <v>239</v>
      </c>
      <c r="H988" t="s">
        <v>24</v>
      </c>
      <c r="I988" t="s">
        <v>53</v>
      </c>
      <c r="J988">
        <v>11.7</v>
      </c>
      <c r="K988">
        <v>6354</v>
      </c>
      <c r="L988" t="s">
        <v>36</v>
      </c>
      <c r="M988" t="s">
        <v>27</v>
      </c>
      <c r="N988" t="s">
        <v>28</v>
      </c>
      <c r="O988" t="s">
        <v>118</v>
      </c>
      <c r="P988" t="s">
        <v>86</v>
      </c>
      <c r="Q988">
        <v>3.3</v>
      </c>
      <c r="R988">
        <v>7</v>
      </c>
    </row>
    <row r="989" spans="1:18" x14ac:dyDescent="0.3">
      <c r="A989" t="s">
        <v>2249</v>
      </c>
      <c r="B989" t="s">
        <v>58</v>
      </c>
      <c r="C989" t="s">
        <v>20</v>
      </c>
      <c r="D989" t="s">
        <v>93</v>
      </c>
      <c r="E989" t="s">
        <v>2250</v>
      </c>
      <c r="F989">
        <v>2021</v>
      </c>
      <c r="G989" t="s">
        <v>269</v>
      </c>
      <c r="H989" t="s">
        <v>24</v>
      </c>
      <c r="I989" t="s">
        <v>44</v>
      </c>
      <c r="J989">
        <v>13.8</v>
      </c>
      <c r="K989">
        <v>11200</v>
      </c>
      <c r="L989" t="s">
        <v>45</v>
      </c>
      <c r="M989" t="s">
        <v>37</v>
      </c>
      <c r="N989" t="s">
        <v>28</v>
      </c>
      <c r="O989" t="s">
        <v>29</v>
      </c>
      <c r="P989" t="s">
        <v>86</v>
      </c>
      <c r="Q989">
        <v>5.9</v>
      </c>
      <c r="R989">
        <v>5</v>
      </c>
    </row>
    <row r="990" spans="1:18" x14ac:dyDescent="0.3">
      <c r="A990" t="s">
        <v>2251</v>
      </c>
      <c r="B990" t="s">
        <v>70</v>
      </c>
      <c r="C990" t="s">
        <v>64</v>
      </c>
      <c r="D990" t="s">
        <v>93</v>
      </c>
      <c r="E990" t="s">
        <v>2252</v>
      </c>
      <c r="F990">
        <v>2025</v>
      </c>
      <c r="G990" t="s">
        <v>347</v>
      </c>
      <c r="H990" t="s">
        <v>35</v>
      </c>
      <c r="I990" t="s">
        <v>85</v>
      </c>
      <c r="J990">
        <v>13</v>
      </c>
      <c r="K990">
        <v>20825</v>
      </c>
      <c r="L990" t="s">
        <v>73</v>
      </c>
      <c r="M990" t="s">
        <v>54</v>
      </c>
      <c r="N990" t="s">
        <v>28</v>
      </c>
      <c r="O990" t="s">
        <v>46</v>
      </c>
      <c r="P990" t="s">
        <v>86</v>
      </c>
      <c r="Q990">
        <v>8.6999999999999993</v>
      </c>
      <c r="R990">
        <v>1</v>
      </c>
    </row>
    <row r="991" spans="1:18" x14ac:dyDescent="0.3">
      <c r="A991" t="s">
        <v>2253</v>
      </c>
      <c r="B991" t="s">
        <v>40</v>
      </c>
      <c r="C991" t="s">
        <v>112</v>
      </c>
      <c r="D991" t="s">
        <v>50</v>
      </c>
      <c r="E991" t="s">
        <v>2254</v>
      </c>
      <c r="F991">
        <v>2018</v>
      </c>
      <c r="G991" t="s">
        <v>1003</v>
      </c>
      <c r="H991" t="s">
        <v>24</v>
      </c>
      <c r="I991" t="s">
        <v>53</v>
      </c>
      <c r="J991">
        <v>3.1</v>
      </c>
      <c r="K991">
        <v>2290</v>
      </c>
      <c r="L991" t="s">
        <v>68</v>
      </c>
      <c r="M991" t="s">
        <v>37</v>
      </c>
      <c r="N991" t="s">
        <v>62</v>
      </c>
      <c r="O991" t="s">
        <v>46</v>
      </c>
      <c r="P991" t="s">
        <v>38</v>
      </c>
      <c r="Q991">
        <v>8.8000000000000007</v>
      </c>
      <c r="R991">
        <v>8</v>
      </c>
    </row>
    <row r="992" spans="1:18" x14ac:dyDescent="0.3">
      <c r="A992" t="s">
        <v>2255</v>
      </c>
      <c r="B992" t="s">
        <v>58</v>
      </c>
      <c r="C992" t="s">
        <v>32</v>
      </c>
      <c r="D992" t="s">
        <v>21</v>
      </c>
      <c r="E992" t="s">
        <v>2256</v>
      </c>
      <c r="F992">
        <v>2022</v>
      </c>
      <c r="G992" t="s">
        <v>421</v>
      </c>
      <c r="H992" t="s">
        <v>96</v>
      </c>
      <c r="I992" t="s">
        <v>25</v>
      </c>
      <c r="J992">
        <v>3.2</v>
      </c>
      <c r="K992">
        <v>34339</v>
      </c>
      <c r="L992" t="s">
        <v>68</v>
      </c>
      <c r="M992" t="s">
        <v>37</v>
      </c>
      <c r="N992" t="s">
        <v>55</v>
      </c>
      <c r="O992" t="s">
        <v>118</v>
      </c>
      <c r="P992" t="s">
        <v>38</v>
      </c>
      <c r="Q992">
        <v>2.1</v>
      </c>
      <c r="R992">
        <v>4</v>
      </c>
    </row>
    <row r="993" spans="1:18" x14ac:dyDescent="0.3">
      <c r="A993" t="s">
        <v>2257</v>
      </c>
      <c r="B993" t="s">
        <v>40</v>
      </c>
      <c r="C993" t="s">
        <v>76</v>
      </c>
      <c r="D993" t="s">
        <v>82</v>
      </c>
      <c r="E993" t="s">
        <v>2258</v>
      </c>
      <c r="F993">
        <v>2022</v>
      </c>
      <c r="G993" t="s">
        <v>741</v>
      </c>
      <c r="H993" t="s">
        <v>24</v>
      </c>
      <c r="I993" t="s">
        <v>44</v>
      </c>
      <c r="J993">
        <v>6.5</v>
      </c>
      <c r="K993">
        <v>21770</v>
      </c>
      <c r="L993" t="s">
        <v>73</v>
      </c>
      <c r="M993" t="s">
        <v>54</v>
      </c>
      <c r="N993" t="s">
        <v>28</v>
      </c>
      <c r="O993" t="s">
        <v>118</v>
      </c>
      <c r="P993" t="s">
        <v>74</v>
      </c>
      <c r="Q993">
        <v>7.9</v>
      </c>
      <c r="R993">
        <v>4</v>
      </c>
    </row>
    <row r="994" spans="1:18" x14ac:dyDescent="0.3">
      <c r="A994" t="s">
        <v>2259</v>
      </c>
      <c r="B994" t="s">
        <v>40</v>
      </c>
      <c r="C994" t="s">
        <v>20</v>
      </c>
      <c r="D994" t="s">
        <v>82</v>
      </c>
      <c r="E994" t="s">
        <v>2260</v>
      </c>
      <c r="F994">
        <v>2015</v>
      </c>
      <c r="G994" t="s">
        <v>206</v>
      </c>
      <c r="H994" t="s">
        <v>24</v>
      </c>
      <c r="I994" t="s">
        <v>25</v>
      </c>
      <c r="J994">
        <v>16.399999999999999</v>
      </c>
      <c r="K994">
        <v>35848</v>
      </c>
      <c r="L994" t="s">
        <v>73</v>
      </c>
      <c r="M994" t="s">
        <v>54</v>
      </c>
      <c r="N994" t="s">
        <v>55</v>
      </c>
      <c r="O994" t="s">
        <v>46</v>
      </c>
      <c r="P994" t="s">
        <v>30</v>
      </c>
      <c r="Q994">
        <v>4.3</v>
      </c>
      <c r="R994">
        <v>11</v>
      </c>
    </row>
    <row r="995" spans="1:18" x14ac:dyDescent="0.3">
      <c r="A995" t="s">
        <v>2261</v>
      </c>
      <c r="B995" t="s">
        <v>49</v>
      </c>
      <c r="C995" t="s">
        <v>112</v>
      </c>
      <c r="D995" t="s">
        <v>77</v>
      </c>
      <c r="E995" t="s">
        <v>2262</v>
      </c>
      <c r="F995">
        <v>2015</v>
      </c>
      <c r="G995" t="s">
        <v>269</v>
      </c>
      <c r="H995" t="s">
        <v>35</v>
      </c>
      <c r="I995" t="s">
        <v>100</v>
      </c>
      <c r="J995">
        <v>15.3</v>
      </c>
      <c r="K995">
        <v>36740</v>
      </c>
      <c r="L995" t="s">
        <v>26</v>
      </c>
      <c r="M995" t="s">
        <v>80</v>
      </c>
      <c r="N995" t="s">
        <v>55</v>
      </c>
      <c r="O995" t="s">
        <v>46</v>
      </c>
      <c r="P995" t="s">
        <v>74</v>
      </c>
      <c r="Q995">
        <v>2.9</v>
      </c>
      <c r="R995">
        <v>11</v>
      </c>
    </row>
    <row r="996" spans="1:18" x14ac:dyDescent="0.3">
      <c r="A996" t="s">
        <v>2263</v>
      </c>
      <c r="B996" t="s">
        <v>40</v>
      </c>
      <c r="C996" t="s">
        <v>64</v>
      </c>
      <c r="D996" t="s">
        <v>21</v>
      </c>
      <c r="E996" t="s">
        <v>2264</v>
      </c>
      <c r="F996">
        <v>2018</v>
      </c>
      <c r="G996" t="s">
        <v>413</v>
      </c>
      <c r="H996" t="s">
        <v>35</v>
      </c>
      <c r="I996" t="s">
        <v>85</v>
      </c>
      <c r="J996">
        <v>3.6</v>
      </c>
      <c r="K996">
        <v>41420</v>
      </c>
      <c r="L996" t="s">
        <v>68</v>
      </c>
      <c r="M996" t="s">
        <v>37</v>
      </c>
      <c r="N996" t="s">
        <v>28</v>
      </c>
      <c r="O996" t="s">
        <v>46</v>
      </c>
      <c r="P996" t="s">
        <v>56</v>
      </c>
      <c r="Q996">
        <v>7.5</v>
      </c>
      <c r="R996">
        <v>8</v>
      </c>
    </row>
    <row r="997" spans="1:18" x14ac:dyDescent="0.3">
      <c r="A997" t="s">
        <v>2265</v>
      </c>
      <c r="B997" t="s">
        <v>49</v>
      </c>
      <c r="C997" t="s">
        <v>20</v>
      </c>
      <c r="D997" t="s">
        <v>41</v>
      </c>
      <c r="E997" t="s">
        <v>2266</v>
      </c>
      <c r="F997">
        <v>2015</v>
      </c>
      <c r="G997" t="s">
        <v>645</v>
      </c>
      <c r="H997" t="s">
        <v>24</v>
      </c>
      <c r="I997" t="s">
        <v>61</v>
      </c>
      <c r="J997">
        <v>10.7</v>
      </c>
      <c r="K997">
        <v>39594</v>
      </c>
      <c r="L997" t="s">
        <v>36</v>
      </c>
      <c r="M997" t="s">
        <v>27</v>
      </c>
      <c r="N997" t="s">
        <v>28</v>
      </c>
      <c r="O997" t="s">
        <v>46</v>
      </c>
      <c r="P997" t="s">
        <v>30</v>
      </c>
      <c r="Q997">
        <v>3.5</v>
      </c>
      <c r="R997">
        <v>11</v>
      </c>
    </row>
    <row r="998" spans="1:18" x14ac:dyDescent="0.3">
      <c r="A998" t="s">
        <v>2267</v>
      </c>
      <c r="B998" t="s">
        <v>40</v>
      </c>
      <c r="C998" t="s">
        <v>76</v>
      </c>
      <c r="D998" t="s">
        <v>41</v>
      </c>
      <c r="E998" t="s">
        <v>2268</v>
      </c>
      <c r="F998">
        <v>2024</v>
      </c>
      <c r="G998" t="s">
        <v>236</v>
      </c>
      <c r="H998" t="s">
        <v>24</v>
      </c>
      <c r="I998" t="s">
        <v>85</v>
      </c>
      <c r="J998">
        <v>4</v>
      </c>
      <c r="K998">
        <v>37044</v>
      </c>
      <c r="L998" t="s">
        <v>45</v>
      </c>
      <c r="M998" t="s">
        <v>54</v>
      </c>
      <c r="N998" t="s">
        <v>62</v>
      </c>
      <c r="O998" t="s">
        <v>118</v>
      </c>
      <c r="P998" t="s">
        <v>86</v>
      </c>
      <c r="Q998">
        <v>5.9</v>
      </c>
      <c r="R998">
        <v>2</v>
      </c>
    </row>
    <row r="999" spans="1:18" x14ac:dyDescent="0.3">
      <c r="A999" t="s">
        <v>2269</v>
      </c>
      <c r="B999" t="s">
        <v>19</v>
      </c>
      <c r="C999" t="s">
        <v>76</v>
      </c>
      <c r="D999" t="s">
        <v>50</v>
      </c>
      <c r="E999" t="s">
        <v>2270</v>
      </c>
      <c r="F999">
        <v>2023</v>
      </c>
      <c r="G999" t="s">
        <v>441</v>
      </c>
      <c r="H999" t="s">
        <v>35</v>
      </c>
      <c r="I999" t="s">
        <v>100</v>
      </c>
      <c r="J999">
        <v>14.6</v>
      </c>
      <c r="K999">
        <v>41766</v>
      </c>
      <c r="L999" t="s">
        <v>36</v>
      </c>
      <c r="M999" t="s">
        <v>80</v>
      </c>
      <c r="N999" t="s">
        <v>55</v>
      </c>
      <c r="O999" t="s">
        <v>118</v>
      </c>
      <c r="P999" t="s">
        <v>74</v>
      </c>
      <c r="Q999">
        <v>3.1</v>
      </c>
      <c r="R999">
        <v>3</v>
      </c>
    </row>
    <row r="1000" spans="1:18" x14ac:dyDescent="0.3">
      <c r="A1000" t="s">
        <v>2271</v>
      </c>
      <c r="B1000" t="s">
        <v>70</v>
      </c>
      <c r="C1000" t="s">
        <v>32</v>
      </c>
      <c r="D1000" t="s">
        <v>82</v>
      </c>
      <c r="E1000" t="s">
        <v>2272</v>
      </c>
      <c r="F1000">
        <v>2024</v>
      </c>
      <c r="G1000" t="s">
        <v>1436</v>
      </c>
      <c r="H1000" t="s">
        <v>35</v>
      </c>
      <c r="I1000" t="s">
        <v>25</v>
      </c>
      <c r="J1000">
        <v>5.7</v>
      </c>
      <c r="K1000">
        <v>36377</v>
      </c>
      <c r="L1000" t="s">
        <v>73</v>
      </c>
      <c r="M1000" t="s">
        <v>37</v>
      </c>
      <c r="N1000" t="s">
        <v>55</v>
      </c>
      <c r="O1000" t="s">
        <v>46</v>
      </c>
      <c r="P1000" t="s">
        <v>74</v>
      </c>
      <c r="Q1000">
        <v>5.3</v>
      </c>
      <c r="R1000">
        <v>2</v>
      </c>
    </row>
    <row r="1001" spans="1:18" x14ac:dyDescent="0.3">
      <c r="A1001" t="s">
        <v>2273</v>
      </c>
      <c r="B1001" t="s">
        <v>19</v>
      </c>
      <c r="C1001" t="s">
        <v>64</v>
      </c>
      <c r="D1001" t="s">
        <v>82</v>
      </c>
      <c r="E1001" t="s">
        <v>2274</v>
      </c>
      <c r="F1001">
        <v>2024</v>
      </c>
      <c r="G1001" t="s">
        <v>225</v>
      </c>
      <c r="H1001" t="s">
        <v>24</v>
      </c>
      <c r="I1001" t="s">
        <v>100</v>
      </c>
      <c r="J1001">
        <v>8.6999999999999993</v>
      </c>
      <c r="K1001">
        <v>12190</v>
      </c>
      <c r="L1001" t="s">
        <v>73</v>
      </c>
      <c r="M1001" t="s">
        <v>80</v>
      </c>
      <c r="N1001" t="s">
        <v>55</v>
      </c>
      <c r="O1001" t="s">
        <v>46</v>
      </c>
      <c r="P1001" t="s">
        <v>86</v>
      </c>
      <c r="Q1001">
        <v>1.4</v>
      </c>
      <c r="R1001">
        <v>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1F407-3543-4FE0-99F4-95ECCE1C54CD}">
  <dimension ref="B3:O44"/>
  <sheetViews>
    <sheetView showGridLines="0" zoomScale="54" workbookViewId="0">
      <selection activeCell="N22" sqref="N22"/>
    </sheetView>
  </sheetViews>
  <sheetFormatPr defaultRowHeight="14.4" x14ac:dyDescent="0.3"/>
  <cols>
    <col min="1" max="1" width="10.77734375" bestFit="1" customWidth="1"/>
    <col min="2" max="2" width="12.21875" style="7" bestFit="1" customWidth="1"/>
    <col min="3" max="3" width="11.44140625" bestFit="1" customWidth="1"/>
    <col min="5" max="5" width="12" bestFit="1" customWidth="1"/>
    <col min="6" max="6" width="13.44140625" bestFit="1" customWidth="1"/>
    <col min="7" max="7" width="12.109375" bestFit="1" customWidth="1"/>
    <col min="10" max="10" width="13.5546875" bestFit="1" customWidth="1"/>
    <col min="11" max="11" width="16.33203125" bestFit="1" customWidth="1"/>
    <col min="14" max="14" width="16.6640625" bestFit="1" customWidth="1"/>
    <col min="15" max="15" width="16.109375" bestFit="1" customWidth="1"/>
  </cols>
  <sheetData>
    <row r="3" spans="2:15" x14ac:dyDescent="0.3">
      <c r="B3" s="5" t="s">
        <v>1</v>
      </c>
      <c r="C3" s="7" t="s">
        <v>2282</v>
      </c>
      <c r="F3" s="5" t="s">
        <v>2283</v>
      </c>
      <c r="G3" s="7" t="s">
        <v>2284</v>
      </c>
      <c r="J3" s="5" t="s">
        <v>2286</v>
      </c>
      <c r="K3" s="7" t="s">
        <v>2275</v>
      </c>
      <c r="N3" s="5" t="s">
        <v>2287</v>
      </c>
      <c r="O3" s="7" t="s">
        <v>2288</v>
      </c>
    </row>
    <row r="4" spans="2:15" x14ac:dyDescent="0.3">
      <c r="B4" s="6" t="s">
        <v>70</v>
      </c>
      <c r="C4" s="2">
        <v>5218953</v>
      </c>
      <c r="F4" s="6" t="s">
        <v>41</v>
      </c>
      <c r="G4" s="4">
        <v>999.70000000000016</v>
      </c>
      <c r="J4" s="6" t="s">
        <v>29</v>
      </c>
      <c r="K4" s="4">
        <v>322</v>
      </c>
      <c r="N4" s="6" t="s">
        <v>24</v>
      </c>
      <c r="O4" s="4">
        <v>502</v>
      </c>
    </row>
    <row r="5" spans="2:15" x14ac:dyDescent="0.3">
      <c r="B5" s="6" t="s">
        <v>58</v>
      </c>
      <c r="C5" s="2">
        <v>4854897</v>
      </c>
      <c r="F5" s="6" t="s">
        <v>82</v>
      </c>
      <c r="G5" s="4">
        <v>1161.0000000000005</v>
      </c>
      <c r="J5" s="6" t="s">
        <v>46</v>
      </c>
      <c r="K5" s="4">
        <v>365</v>
      </c>
      <c r="N5" s="6" t="s">
        <v>35</v>
      </c>
      <c r="O5" s="4">
        <v>363</v>
      </c>
    </row>
    <row r="6" spans="2:15" x14ac:dyDescent="0.3">
      <c r="B6" s="6" t="s">
        <v>19</v>
      </c>
      <c r="C6" s="2">
        <v>4724012</v>
      </c>
      <c r="F6" s="6" t="s">
        <v>77</v>
      </c>
      <c r="G6" s="4">
        <v>1205.2</v>
      </c>
      <c r="J6" s="6" t="s">
        <v>118</v>
      </c>
      <c r="K6" s="4">
        <v>313</v>
      </c>
      <c r="N6" s="6" t="s">
        <v>96</v>
      </c>
      <c r="O6" s="4">
        <v>135</v>
      </c>
    </row>
    <row r="7" spans="2:15" x14ac:dyDescent="0.3">
      <c r="B7" s="6" t="s">
        <v>49</v>
      </c>
      <c r="C7" s="2">
        <v>4657081</v>
      </c>
      <c r="F7" s="6" t="s">
        <v>65</v>
      </c>
      <c r="G7" s="4">
        <v>1249.5000000000007</v>
      </c>
    </row>
    <row r="8" spans="2:15" x14ac:dyDescent="0.3">
      <c r="B8" s="6" t="s">
        <v>40</v>
      </c>
      <c r="C8" s="2">
        <v>4130588</v>
      </c>
      <c r="F8" s="6" t="s">
        <v>93</v>
      </c>
      <c r="G8" s="4">
        <v>1398.0000000000005</v>
      </c>
    </row>
    <row r="9" spans="2:15" x14ac:dyDescent="0.3">
      <c r="B9"/>
      <c r="F9" s="6" t="s">
        <v>50</v>
      </c>
      <c r="G9" s="4">
        <v>1575.4999999999991</v>
      </c>
    </row>
    <row r="10" spans="2:15" x14ac:dyDescent="0.3">
      <c r="F10" s="6" t="s">
        <v>21</v>
      </c>
      <c r="G10" s="4">
        <v>1604.1000000000008</v>
      </c>
    </row>
    <row r="22" spans="2:15" x14ac:dyDescent="0.3">
      <c r="N22" s="5" t="s">
        <v>2292</v>
      </c>
      <c r="O22" s="7" t="s">
        <v>2285</v>
      </c>
    </row>
    <row r="23" spans="2:15" x14ac:dyDescent="0.3">
      <c r="N23" s="6">
        <v>1</v>
      </c>
      <c r="O23" s="4">
        <v>91</v>
      </c>
    </row>
    <row r="24" spans="2:15" x14ac:dyDescent="0.3">
      <c r="N24" s="6">
        <v>2</v>
      </c>
      <c r="O24" s="4">
        <v>95</v>
      </c>
    </row>
    <row r="25" spans="2:15" x14ac:dyDescent="0.3">
      <c r="B25" s="5" t="s">
        <v>11</v>
      </c>
      <c r="C25" s="7" t="s">
        <v>2289</v>
      </c>
      <c r="F25" s="5" t="s">
        <v>2290</v>
      </c>
      <c r="G25" s="7" t="s">
        <v>2291</v>
      </c>
      <c r="J25" s="5" t="s">
        <v>2</v>
      </c>
      <c r="K25" s="7" t="s">
        <v>2278</v>
      </c>
      <c r="N25" s="6">
        <v>3</v>
      </c>
      <c r="O25" s="4">
        <v>86</v>
      </c>
    </row>
    <row r="26" spans="2:15" x14ac:dyDescent="0.3">
      <c r="B26" s="6" t="s">
        <v>26</v>
      </c>
      <c r="C26" s="4">
        <v>177</v>
      </c>
      <c r="F26" s="6" t="s">
        <v>53</v>
      </c>
      <c r="G26" s="4">
        <v>148</v>
      </c>
      <c r="J26" s="6" t="s">
        <v>76</v>
      </c>
      <c r="K26" s="2">
        <v>5100031</v>
      </c>
      <c r="N26" s="6">
        <v>4</v>
      </c>
      <c r="O26" s="4">
        <v>90</v>
      </c>
    </row>
    <row r="27" spans="2:15" x14ac:dyDescent="0.3">
      <c r="B27" s="6" t="s">
        <v>73</v>
      </c>
      <c r="C27" s="4">
        <v>176</v>
      </c>
      <c r="F27" s="6" t="s">
        <v>61</v>
      </c>
      <c r="G27" s="4">
        <v>161</v>
      </c>
      <c r="J27" s="6" t="s">
        <v>20</v>
      </c>
      <c r="K27" s="2">
        <v>5024638</v>
      </c>
      <c r="N27" s="6">
        <v>5</v>
      </c>
      <c r="O27" s="4">
        <v>64</v>
      </c>
    </row>
    <row r="28" spans="2:15" x14ac:dyDescent="0.3">
      <c r="B28" s="6" t="s">
        <v>68</v>
      </c>
      <c r="C28" s="4">
        <v>168</v>
      </c>
      <c r="F28" s="6" t="s">
        <v>44</v>
      </c>
      <c r="G28" s="4">
        <v>168</v>
      </c>
      <c r="J28" s="6" t="s">
        <v>32</v>
      </c>
      <c r="K28" s="2">
        <v>4796910</v>
      </c>
      <c r="N28" s="6">
        <v>6</v>
      </c>
      <c r="O28" s="4">
        <v>96</v>
      </c>
    </row>
    <row r="29" spans="2:15" x14ac:dyDescent="0.3">
      <c r="B29" s="6" t="s">
        <v>45</v>
      </c>
      <c r="C29" s="4">
        <v>166</v>
      </c>
      <c r="F29" s="6" t="s">
        <v>85</v>
      </c>
      <c r="G29" s="4">
        <v>172</v>
      </c>
      <c r="J29" s="6" t="s">
        <v>112</v>
      </c>
      <c r="K29" s="2">
        <v>4340606</v>
      </c>
      <c r="N29" s="6">
        <v>7</v>
      </c>
      <c r="O29" s="4">
        <v>88</v>
      </c>
    </row>
    <row r="30" spans="2:15" x14ac:dyDescent="0.3">
      <c r="B30" s="6" t="s">
        <v>36</v>
      </c>
      <c r="C30" s="4">
        <v>161</v>
      </c>
      <c r="F30" s="6" t="s">
        <v>100</v>
      </c>
      <c r="G30" s="4">
        <v>176</v>
      </c>
      <c r="J30" s="6" t="s">
        <v>64</v>
      </c>
      <c r="K30" s="2">
        <v>4323346</v>
      </c>
      <c r="N30" s="6">
        <v>8</v>
      </c>
      <c r="O30" s="4">
        <v>70</v>
      </c>
    </row>
    <row r="31" spans="2:15" x14ac:dyDescent="0.3">
      <c r="B31" s="6" t="s">
        <v>101</v>
      </c>
      <c r="C31" s="4">
        <v>152</v>
      </c>
      <c r="N31" s="6">
        <v>9</v>
      </c>
      <c r="O31" s="4">
        <v>77</v>
      </c>
    </row>
    <row r="32" spans="2:15" x14ac:dyDescent="0.3">
      <c r="B32"/>
      <c r="N32" s="6">
        <v>10</v>
      </c>
      <c r="O32" s="4">
        <v>84</v>
      </c>
    </row>
    <row r="33" spans="2:15" x14ac:dyDescent="0.3">
      <c r="N33" s="6">
        <v>11</v>
      </c>
      <c r="O33" s="4">
        <v>76</v>
      </c>
    </row>
    <row r="34" spans="2:15" x14ac:dyDescent="0.3">
      <c r="N34" s="6">
        <v>12</v>
      </c>
      <c r="O34" s="4">
        <v>83</v>
      </c>
    </row>
    <row r="35" spans="2:15" x14ac:dyDescent="0.3">
      <c r="B35"/>
    </row>
    <row r="36" spans="2:15" x14ac:dyDescent="0.3">
      <c r="B36"/>
    </row>
    <row r="37" spans="2:15" x14ac:dyDescent="0.3">
      <c r="B37"/>
    </row>
    <row r="38" spans="2:15" x14ac:dyDescent="0.3">
      <c r="B38"/>
    </row>
    <row r="39" spans="2:15" x14ac:dyDescent="0.3">
      <c r="B39"/>
    </row>
    <row r="40" spans="2:15" x14ac:dyDescent="0.3">
      <c r="B40"/>
    </row>
    <row r="41" spans="2:15" x14ac:dyDescent="0.3">
      <c r="B41"/>
    </row>
    <row r="42" spans="2:15" x14ac:dyDescent="0.3">
      <c r="B42"/>
    </row>
    <row r="43" spans="2:15" x14ac:dyDescent="0.3">
      <c r="B43"/>
    </row>
    <row r="44" spans="2:15" x14ac:dyDescent="0.3">
      <c r="B44"/>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AD954-4481-43F0-929B-42855978E846}">
  <dimension ref="A1"/>
  <sheetViews>
    <sheetView showGridLines="0" tabSelected="1" zoomScale="55" zoomScaleNormal="55" workbookViewId="0">
      <selection activeCell="AP58" sqref="AP5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&amp; KPI's</vt:lpstr>
      <vt:lpstr>Pivote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seerasasikumar@gmail.com</cp:lastModifiedBy>
  <dcterms:created xsi:type="dcterms:W3CDTF">2026-08-07T06:20:02Z</dcterms:created>
  <dcterms:modified xsi:type="dcterms:W3CDTF">2026-08-08T13:08:27Z</dcterms:modified>
</cp:coreProperties>
</file>